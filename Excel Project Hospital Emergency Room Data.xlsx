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AITRI\Downloads\"/>
    </mc:Choice>
  </mc:AlternateContent>
  <xr:revisionPtr revIDLastSave="0" documentId="13_ncr:1_{E562AED4-CB16-4F8D-8F02-E9ECEE8EACC7}" xr6:coauthVersionLast="47" xr6:coauthVersionMax="47" xr10:uidLastSave="{00000000-0000-0000-0000-000000000000}"/>
  <bookViews>
    <workbookView xWindow="-108" yWindow="-108" windowWidth="23256" windowHeight="12456" activeTab="1" xr2:uid="{BA5A543B-3856-4FB8-B418-508BE78BF205}"/>
  </bookViews>
  <sheets>
    <sheet name="Pivot Report" sheetId="1" r:id="rId1"/>
    <sheet name="Dashboard" sheetId="2" r:id="rId2"/>
    <sheet name="Daily ER No of Patient" sheetId="3" r:id="rId3"/>
    <sheet name="Average Wait Time daily trend" sheetId="4" r:id="rId4"/>
    <sheet name="Avg of Patient Satisfaction Sco"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5873231-c229-44e0-b9a4-091eb0f5db29" name="Hospital Emergency Room Data" connection="Query - Hospital Emergency Room Data"/>
          <x15:modelTable id="Calendar_Table_f0429ded-350b-4502-93e1-868bb5ff9053"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7" i="1" l="1"/>
  <c r="A48" i="1"/>
  <c r="B48" i="1"/>
  <c r="C48" i="1"/>
  <c r="B47" i="1"/>
  <c r="C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FCB3DC-483B-4D07-BB7C-F18319F1B2B0}" name="Query - Calendar_Table" description="Connection to the 'Calendar_Table' query in the workbook." type="100" refreshedVersion="8" minRefreshableVersion="5">
    <extLst>
      <ext xmlns:x15="http://schemas.microsoft.com/office/spreadsheetml/2010/11/main" uri="{DE250136-89BD-433C-8126-D09CA5730AF9}">
        <x15:connection id="b5fa15ed-fdef-4844-b271-ba5e96266804"/>
      </ext>
    </extLst>
  </connection>
  <connection id="2" xr16:uid="{F0B3B3D7-D684-48B3-A06B-1DD13970770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7416e24-de38-41b5-9d35-6ff4c79fb249"/>
      </ext>
    </extLst>
  </connection>
  <connection id="3" xr16:uid="{7D746CC6-C25E-45A1-82AF-F1B31041990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<sst xmlns="http://schemas.openxmlformats.org/spreadsheetml/2006/main" count="154" uniqueCount="72">
  <si>
    <t>Distinct Count of Patient Id</t>
  </si>
  <si>
    <t>No. of Patient</t>
  </si>
  <si>
    <t>Average of Patient Waittime</t>
  </si>
  <si>
    <t>Average of Patient Satisfaction Score</t>
  </si>
  <si>
    <t>Grand Total</t>
  </si>
  <si>
    <t>Row Labels</t>
  </si>
  <si>
    <t>Daily trends of no of patient</t>
  </si>
  <si>
    <t>average wait time</t>
  </si>
  <si>
    <t>Count of Patient Admission Flag</t>
  </si>
  <si>
    <t>Admitted</t>
  </si>
  <si>
    <t>Not Admitted</t>
  </si>
  <si>
    <t>Count of Patient Admission Flag2</t>
  </si>
  <si>
    <t>Admission Status</t>
  </si>
  <si>
    <t>%Status</t>
  </si>
  <si>
    <t>0-9</t>
  </si>
  <si>
    <t>10-19</t>
  </si>
  <si>
    <t>20-29</t>
  </si>
  <si>
    <t>30-39</t>
  </si>
  <si>
    <t>40-49</t>
  </si>
  <si>
    <t>50-59</t>
  </si>
  <si>
    <t>60-69</t>
  </si>
  <si>
    <t>70-79</t>
  </si>
  <si>
    <t>Count of Age Group</t>
  </si>
  <si>
    <t>Ontime</t>
  </si>
  <si>
    <t>Delay</t>
  </si>
  <si>
    <t>Count of Patient Attand Status</t>
  </si>
  <si>
    <t>Attand Status</t>
  </si>
  <si>
    <t>Female</t>
  </si>
  <si>
    <t>Male</t>
  </si>
  <si>
    <t>Count of Patient Gender</t>
  </si>
  <si>
    <t>Gender Wise Analysis</t>
  </si>
  <si>
    <t>Count of Department Referral</t>
  </si>
  <si>
    <t>Cardiology</t>
  </si>
  <si>
    <t>Gastroenterology</t>
  </si>
  <si>
    <t>General Practice</t>
  </si>
  <si>
    <t>Neurology</t>
  </si>
  <si>
    <t>None</t>
  </si>
  <si>
    <t>Orthopedics</t>
  </si>
  <si>
    <t>Physiotherapy</t>
  </si>
  <si>
    <t>Renal</t>
  </si>
  <si>
    <t>2023</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</si>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</sst>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8"/>
      <color theme="1"/>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3" tint="0.59999389629810485"/>
        <bgColor indexed="64"/>
      </patternFill>
    </fill>
    <fill>
      <patternFill patternType="solid">
        <fgColor theme="0"/>
        <bgColor indexed="64"/>
      </patternFill>
    </fill>
    <fill>
      <patternFill patternType="solid">
        <fgColor theme="2"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2" borderId="0" xfId="0" applyFill="1"/>
    <xf numFmtId="1" fontId="0" fillId="0" borderId="0" xfId="0" applyNumberFormat="1"/>
    <xf numFmtId="10" fontId="0" fillId="0" borderId="0" xfId="0" applyNumberFormat="1"/>
    <xf numFmtId="0" fontId="0" fillId="3" borderId="0" xfId="0" applyFill="1" applyAlignment="1">
      <alignment horizontal="center"/>
    </xf>
    <xf numFmtId="0" fontId="0" fillId="4" borderId="0" xfId="0" applyFill="1" applyAlignment="1">
      <alignment horizontal="center"/>
    </xf>
    <xf numFmtId="9" fontId="0" fillId="4" borderId="0" xfId="1" applyFont="1" applyFill="1" applyBorder="1" applyAlignment="1">
      <alignment horizontal="center"/>
    </xf>
    <xf numFmtId="0" fontId="0" fillId="5" borderId="0" xfId="0" applyFill="1"/>
    <xf numFmtId="2" fontId="0" fillId="5" borderId="0" xfId="0" applyNumberFormat="1" applyFill="1"/>
    <xf numFmtId="0" fontId="2" fillId="0" borderId="0" xfId="0" applyFont="1" applyAlignment="1">
      <alignment horizontal="left"/>
    </xf>
  </cellXfs>
  <cellStyles count="2">
    <cellStyle name="Normal" xfId="0" builtinId="0"/>
    <cellStyle name="Percent" xfId="1" builtinId="5"/>
  </cellStyles>
  <dxfs count="17">
    <dxf>
      <numFmt numFmtId="2" formatCode="0.00"/>
    </dxf>
    <dxf>
      <numFmt numFmtId="1" formatCode="0"/>
    </dxf>
    <dxf>
      <numFmt numFmtId="2" formatCode="0.00"/>
    </dxf>
    <dxf>
      <numFmt numFmtId="1" formatCode="0"/>
    </dxf>
    <dxf>
      <font>
        <sz val="8"/>
      </font>
    </dxf>
    <dxf>
      <font>
        <sz val="11"/>
      </font>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1" formatCode="0"/>
    </dxf>
    <dxf>
      <font>
        <b/>
        <color theme="1"/>
      </font>
      <border>
        <bottom style="thin">
          <color theme="4"/>
        </bottom>
        <vertical/>
        <horizontal/>
      </border>
    </dxf>
    <dxf>
      <font>
        <sz val="7"/>
        <color theme="1"/>
      </font>
      <fill>
        <patternFill patternType="solid">
          <bgColor theme="0"/>
        </patternFill>
      </fill>
      <border diagonalUp="0" diagonalDown="0">
        <left/>
        <right/>
        <top/>
        <bottom/>
        <vertical/>
        <horizontal/>
      </border>
    </dxf>
  </dxfs>
  <tableStyles count="1" defaultTableStyle="TableStyleMedium2" defaultPivotStyle="PivotStyleLight16">
    <tableStyle name="My Style" pivot="0" table="0" count="10" xr9:uid="{EEF84690-2E28-4B2B-A903-FA5DD7223286}">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 Data.xlsx]Pivot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B74069-80C1-4684-AFB9-3FCCC84896E1}"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11043050-1CDF-493C-9F75-913BDCF95115}"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7262B5E-E70C-4AD0-BFF3-7B9E235221F0}" type="VALUE">
                  <a:rPr lang="en-US"/>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CF1AAD58-E0C2-447A-85B7-91CC420AF0EA}" type="CELLRANGE">
                  <a:rPr lang="en-IN"/>
                  <a:pPr>
                    <a:defRPr sz="7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E0DBB0CB-F95E-43DD-98A6-19C0C2992441}" type="CELLRANGE">
                  <a:rPr lang="en-US"/>
                  <a:pPr>
                    <a:defRPr sz="7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32164432871108745"/>
          <c:y val="0.21436603587726014"/>
          <c:w val="0.42486143894710993"/>
          <c:h val="0.59857982132212106"/>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0AC0-41CC-A0D2-7D57CB8BDC65}"/>
              </c:ext>
            </c:extLst>
          </c:dPt>
          <c:dPt>
            <c:idx val="1"/>
            <c:invertIfNegative val="0"/>
            <c:bubble3D val="0"/>
            <c:extLst>
              <c:ext xmlns:c16="http://schemas.microsoft.com/office/drawing/2014/chart" uri="{C3380CC4-5D6E-409C-BE32-E72D297353CC}">
                <c16:uniqueId val="{00000004-0AC0-41CC-A0D2-7D57CB8BDC65}"/>
              </c:ext>
            </c:extLst>
          </c:dPt>
          <c:dLbls>
            <c:dLbl>
              <c:idx val="0"/>
              <c:tx>
                <c:rich>
                  <a:bodyPr/>
                  <a:lstStyle/>
                  <a:p>
                    <a:fld id="{E0DBB0CB-F95E-43DD-98A6-19C0C299244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AC0-41CC-A0D2-7D57CB8BDC65}"/>
                </c:ext>
              </c:extLst>
            </c:dLbl>
            <c:dLbl>
              <c:idx val="1"/>
              <c:tx>
                <c:rich>
                  <a:bodyPr/>
                  <a:lstStyle/>
                  <a:p>
                    <a:fld id="{CF1AAD58-E0C2-447A-85B7-91CC420AF0E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AC0-41CC-A0D2-7D57CB8BDC65}"/>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Report'!$C$41:$C$42</c:f>
              <c:strCache>
                <c:ptCount val="2"/>
                <c:pt idx="0">
                  <c:v>Admitted</c:v>
                </c:pt>
                <c:pt idx="1">
                  <c:v>Not Admitted</c:v>
                </c:pt>
              </c:strCache>
            </c:strRef>
          </c:cat>
          <c:val>
            <c:numRef>
              <c:f>'Pivot Report'!$C$41:$C$42</c:f>
              <c:numCache>
                <c:formatCode>0</c:formatCode>
                <c:ptCount val="2"/>
                <c:pt idx="0">
                  <c:v>476</c:v>
                </c:pt>
                <c:pt idx="1">
                  <c:v>548</c:v>
                </c:pt>
              </c:numCache>
            </c:numRef>
          </c:val>
          <c:extLst>
            <c:ext xmlns:c15="http://schemas.microsoft.com/office/drawing/2012/chart" uri="{02D57815-91ED-43cb-92C2-25804820EDAC}">
              <c15:datalabelsRange>
                <c15:f>'Pivot Report'!$C$41:$C$42</c15:f>
                <c15:dlblRangeCache>
                  <c:ptCount val="2"/>
                  <c:pt idx="0">
                    <c:v>46.48%</c:v>
                  </c:pt>
                  <c:pt idx="1">
                    <c:v>53.52%</c:v>
                  </c:pt>
                </c15:dlblRangeCache>
              </c15:datalabelsRange>
            </c:ext>
            <c:ext xmlns:c16="http://schemas.microsoft.com/office/drawing/2014/chart" uri="{C3380CC4-5D6E-409C-BE32-E72D297353CC}">
              <c16:uniqueId val="{00000000-0AC0-41CC-A0D2-7D57CB8BDC65}"/>
            </c:ext>
          </c:extLst>
        </c:ser>
        <c:ser>
          <c:idx val="1"/>
          <c:order val="1"/>
          <c:tx>
            <c:strRef>
              <c:f>'Pivot Report'!$C$41:$C$42</c:f>
              <c:strCache>
                <c:ptCount val="1"/>
                <c:pt idx="0">
                  <c:v>Count of Patient Admission Flag2</c:v>
                </c:pt>
              </c:strCache>
            </c:strRef>
          </c:tx>
          <c:spPr>
            <a:solidFill>
              <a:schemeClr val="accent2"/>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0.46484375</c:v>
                </c:pt>
                <c:pt idx="1">
                  <c:v>0.53515625</c:v>
                </c:pt>
              </c:numCache>
            </c:numRef>
          </c:val>
          <c:extLst>
            <c:ext xmlns:c16="http://schemas.microsoft.com/office/drawing/2014/chart" uri="{C3380CC4-5D6E-409C-BE32-E72D297353CC}">
              <c16:uniqueId val="{00000001-0AC0-41CC-A0D2-7D57CB8BDC65}"/>
            </c:ext>
          </c:extLst>
        </c:ser>
        <c:dLbls>
          <c:showLegendKey val="0"/>
          <c:showVal val="0"/>
          <c:showCatName val="0"/>
          <c:showSerName val="0"/>
          <c:showPercent val="0"/>
          <c:showBubbleSize val="0"/>
        </c:dLbls>
        <c:gapWidth val="105"/>
        <c:axId val="2102839488"/>
        <c:axId val="2102838528"/>
      </c:barChart>
      <c:catAx>
        <c:axId val="210283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lumMod val="65000"/>
                    <a:lumOff val="35000"/>
                  </a:schemeClr>
                </a:solidFill>
                <a:latin typeface="+mn-lt"/>
                <a:ea typeface="+mn-ea"/>
                <a:cs typeface="+mn-cs"/>
              </a:defRPr>
            </a:pPr>
            <a:endParaRPr lang="en-US"/>
          </a:p>
        </c:txPr>
        <c:crossAx val="2102838528"/>
        <c:crosses val="autoZero"/>
        <c:auto val="1"/>
        <c:lblAlgn val="ctr"/>
        <c:lblOffset val="100"/>
        <c:noMultiLvlLbl val="0"/>
      </c:catAx>
      <c:valAx>
        <c:axId val="2102838528"/>
        <c:scaling>
          <c:orientation val="minMax"/>
        </c:scaling>
        <c:delete val="1"/>
        <c:axPos val="b"/>
        <c:numFmt formatCode="0" sourceLinked="1"/>
        <c:majorTickMark val="none"/>
        <c:minorTickMark val="none"/>
        <c:tickLblPos val="nextTo"/>
        <c:crossAx val="210283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 Data.xlsx]Pivot Report!PivotTable4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91590113735783"/>
          <c:y val="0.24941529161851572"/>
          <c:w val="0.56762521872265959"/>
          <c:h val="0.57833099858689085"/>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Report'!$D$5:$D$36</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2-2D65-408B-A471-045DE89BEB51}"/>
            </c:ext>
          </c:extLst>
        </c:ser>
        <c:dLbls>
          <c:showLegendKey val="0"/>
          <c:showVal val="0"/>
          <c:showCatName val="0"/>
          <c:showSerName val="0"/>
          <c:showPercent val="0"/>
          <c:showBubbleSize val="0"/>
        </c:dLbls>
        <c:axId val="707642960"/>
        <c:axId val="707642480"/>
      </c:areaChart>
      <c:catAx>
        <c:axId val="707642960"/>
        <c:scaling>
          <c:orientation val="minMax"/>
        </c:scaling>
        <c:delete val="1"/>
        <c:axPos val="b"/>
        <c:numFmt formatCode="General" sourceLinked="1"/>
        <c:majorTickMark val="out"/>
        <c:minorTickMark val="none"/>
        <c:tickLblPos val="nextTo"/>
        <c:crossAx val="707642480"/>
        <c:crosses val="autoZero"/>
        <c:auto val="1"/>
        <c:lblAlgn val="ctr"/>
        <c:lblOffset val="100"/>
        <c:noMultiLvlLbl val="0"/>
      </c:catAx>
      <c:valAx>
        <c:axId val="707642480"/>
        <c:scaling>
          <c:orientation val="minMax"/>
        </c:scaling>
        <c:delete val="1"/>
        <c:axPos val="l"/>
        <c:numFmt formatCode="General" sourceLinked="1"/>
        <c:majorTickMark val="none"/>
        <c:minorTickMark val="none"/>
        <c:tickLblPos val="nextTo"/>
        <c:crossAx val="707642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 Data.xlsx]Pivot Report!PivotTable5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0448869411192E-2"/>
          <c:y val="0.23280384484631947"/>
          <c:w val="0.84435816739708025"/>
          <c:h val="0.53439231030736112"/>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Report'!$G$5:$G$36</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2-72CE-458F-9C11-843D6E1C6622}"/>
            </c:ext>
          </c:extLst>
        </c:ser>
        <c:dLbls>
          <c:showLegendKey val="0"/>
          <c:showVal val="0"/>
          <c:showCatName val="0"/>
          <c:showSerName val="0"/>
          <c:showPercent val="0"/>
          <c:showBubbleSize val="0"/>
        </c:dLbls>
        <c:axId val="317509119"/>
        <c:axId val="485555343"/>
      </c:areaChart>
      <c:catAx>
        <c:axId val="317509119"/>
        <c:scaling>
          <c:orientation val="minMax"/>
        </c:scaling>
        <c:delete val="1"/>
        <c:axPos val="b"/>
        <c:numFmt formatCode="General" sourceLinked="1"/>
        <c:majorTickMark val="out"/>
        <c:minorTickMark val="none"/>
        <c:tickLblPos val="nextTo"/>
        <c:crossAx val="485555343"/>
        <c:crosses val="autoZero"/>
        <c:auto val="1"/>
        <c:lblAlgn val="ctr"/>
        <c:lblOffset val="100"/>
        <c:noMultiLvlLbl val="0"/>
      </c:catAx>
      <c:valAx>
        <c:axId val="485555343"/>
        <c:scaling>
          <c:orientation val="minMax"/>
        </c:scaling>
        <c:delete val="1"/>
        <c:axPos val="l"/>
        <c:numFmt formatCode="0.00" sourceLinked="1"/>
        <c:majorTickMark val="out"/>
        <c:minorTickMark val="none"/>
        <c:tickLblPos val="nextTo"/>
        <c:crossAx val="3175091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 Data.xlsx]Pivot Report!PivotTable6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878752232431689E-2"/>
          <c:y val="0.18471339123605257"/>
          <c:w val="0.71000011763297532"/>
          <c:h val="0.70753713054291678"/>
        </c:manualLayout>
      </c:layout>
      <c:areaChart>
        <c:grouping val="standard"/>
        <c:varyColors val="0"/>
        <c:ser>
          <c:idx val="0"/>
          <c:order val="0"/>
          <c:tx>
            <c:strRef>
              <c:f>'Pivot Report'!$J$4</c:f>
              <c:strCache>
                <c:ptCount val="1"/>
                <c:pt idx="0">
                  <c:v>Total</c:v>
                </c:pt>
              </c:strCache>
            </c:strRef>
          </c:tx>
          <c:spPr>
            <a:solidFill>
              <a:schemeClr val="accent1"/>
            </a:solidFill>
            <a:ln>
              <a:noFill/>
            </a:ln>
            <a:effectLst/>
          </c:spPr>
          <c:cat>
            <c:strRef>
              <c:f>'Pivot Report'!$I$5:$I$36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Report'!$J$5:$J$36</c:f>
              <c:numCache>
                <c:formatCode>0.00</c:formatCode>
                <c:ptCount val="31"/>
                <c:pt idx="0">
                  <c:v>5.2</c:v>
                </c:pt>
                <c:pt idx="1">
                  <c:v>4.4444444444444446</c:v>
                </c:pt>
                <c:pt idx="2">
                  <c:v>6.2727272727272725</c:v>
                </c:pt>
                <c:pt idx="3">
                  <c:v>4.5999999999999996</c:v>
                </c:pt>
                <c:pt idx="4">
                  <c:v>5.5</c:v>
                </c:pt>
                <c:pt idx="5">
                  <c:v>5.4285714285714288</c:v>
                </c:pt>
                <c:pt idx="6">
                  <c:v>9.5</c:v>
                </c:pt>
                <c:pt idx="7">
                  <c:v>2.1666666666666665</c:v>
                </c:pt>
                <c:pt idx="8">
                  <c:v>5.333333333333333</c:v>
                </c:pt>
                <c:pt idx="9">
                  <c:v>4.1428571428571432</c:v>
                </c:pt>
                <c:pt idx="10">
                  <c:v>2.75</c:v>
                </c:pt>
                <c:pt idx="11">
                  <c:v>4.4000000000000004</c:v>
                </c:pt>
                <c:pt idx="12">
                  <c:v>5.5</c:v>
                </c:pt>
                <c:pt idx="13">
                  <c:v>6.4</c:v>
                </c:pt>
                <c:pt idx="14">
                  <c:v>5.25</c:v>
                </c:pt>
                <c:pt idx="15">
                  <c:v>6</c:v>
                </c:pt>
                <c:pt idx="16">
                  <c:v>5.1428571428571432</c:v>
                </c:pt>
                <c:pt idx="17">
                  <c:v>5.25</c:v>
                </c:pt>
                <c:pt idx="18">
                  <c:v>6</c:v>
                </c:pt>
                <c:pt idx="19">
                  <c:v>5.4375</c:v>
                </c:pt>
                <c:pt idx="20">
                  <c:v>4.5</c:v>
                </c:pt>
                <c:pt idx="21">
                  <c:v>4.7142857142857144</c:v>
                </c:pt>
                <c:pt idx="22">
                  <c:v>7.375</c:v>
                </c:pt>
                <c:pt idx="23">
                  <c:v>4.1428571428571432</c:v>
                </c:pt>
                <c:pt idx="24">
                  <c:v>5.2222222222222223</c:v>
                </c:pt>
                <c:pt idx="25">
                  <c:v>3.375</c:v>
                </c:pt>
                <c:pt idx="26">
                  <c:v>6</c:v>
                </c:pt>
                <c:pt idx="27">
                  <c:v>5.6</c:v>
                </c:pt>
                <c:pt idx="28">
                  <c:v>3.75</c:v>
                </c:pt>
                <c:pt idx="29">
                  <c:v>4.8571428571428568</c:v>
                </c:pt>
                <c:pt idx="30">
                  <c:v>5.5</c:v>
                </c:pt>
              </c:numCache>
            </c:numRef>
          </c:val>
          <c:extLst>
            <c:ext xmlns:c16="http://schemas.microsoft.com/office/drawing/2014/chart" uri="{C3380CC4-5D6E-409C-BE32-E72D297353CC}">
              <c16:uniqueId val="{00000000-2301-4E5C-8D79-C98B5962BC08}"/>
            </c:ext>
          </c:extLst>
        </c:ser>
        <c:dLbls>
          <c:showLegendKey val="0"/>
          <c:showVal val="0"/>
          <c:showCatName val="0"/>
          <c:showSerName val="0"/>
          <c:showPercent val="0"/>
          <c:showBubbleSize val="0"/>
        </c:dLbls>
        <c:axId val="2108608800"/>
        <c:axId val="2108607360"/>
      </c:areaChart>
      <c:catAx>
        <c:axId val="2108608800"/>
        <c:scaling>
          <c:orientation val="minMax"/>
        </c:scaling>
        <c:delete val="1"/>
        <c:axPos val="b"/>
        <c:numFmt formatCode="General" sourceLinked="1"/>
        <c:majorTickMark val="out"/>
        <c:minorTickMark val="none"/>
        <c:tickLblPos val="nextTo"/>
        <c:crossAx val="2108607360"/>
        <c:crosses val="autoZero"/>
        <c:auto val="1"/>
        <c:lblAlgn val="ctr"/>
        <c:lblOffset val="100"/>
        <c:noMultiLvlLbl val="0"/>
      </c:catAx>
      <c:valAx>
        <c:axId val="2108607360"/>
        <c:scaling>
          <c:orientation val="minMax"/>
        </c:scaling>
        <c:delete val="1"/>
        <c:axPos val="l"/>
        <c:numFmt formatCode="0.00" sourceLinked="1"/>
        <c:majorTickMark val="none"/>
        <c:minorTickMark val="none"/>
        <c:tickLblPos val="nextTo"/>
        <c:crossAx val="210860880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 Data.xlsx]Pivot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711984974373502E-2"/>
          <c:y val="7.407407407407407E-2"/>
          <c:w val="0.91884355669402462"/>
          <c:h val="0.75512805042188413"/>
        </c:manualLayout>
      </c:layout>
      <c:barChart>
        <c:barDir val="col"/>
        <c:grouping val="clustered"/>
        <c:varyColors val="0"/>
        <c:ser>
          <c:idx val="0"/>
          <c:order val="0"/>
          <c:tx>
            <c:strRef>
              <c:f>'Pivot Report'!$G$40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Report'!$F$41:$F$49</c:f>
              <c:strCache>
                <c:ptCount val="8"/>
                <c:pt idx="0">
                  <c:v>0-9</c:v>
                </c:pt>
                <c:pt idx="1">
                  <c:v>10-19</c:v>
                </c:pt>
                <c:pt idx="2">
                  <c:v>20-29</c:v>
                </c:pt>
                <c:pt idx="3">
                  <c:v>30-39</c:v>
                </c:pt>
                <c:pt idx="4">
                  <c:v>40-49</c:v>
                </c:pt>
                <c:pt idx="5">
                  <c:v>50-59</c:v>
                </c:pt>
                <c:pt idx="6">
                  <c:v>60-69</c:v>
                </c:pt>
                <c:pt idx="7">
                  <c:v>70-79</c:v>
                </c:pt>
              </c:strCache>
            </c:strRef>
          </c:cat>
          <c:val>
            <c:numRef>
              <c:f>'Pivot Report'!$G$41:$G$49</c:f>
              <c:numCache>
                <c:formatCode>0</c:formatCode>
                <c:ptCount val="8"/>
                <c:pt idx="0">
                  <c:v>133</c:v>
                </c:pt>
                <c:pt idx="1">
                  <c:v>136</c:v>
                </c:pt>
                <c:pt idx="2">
                  <c:v>123</c:v>
                </c:pt>
                <c:pt idx="3">
                  <c:v>133</c:v>
                </c:pt>
                <c:pt idx="4">
                  <c:v>120</c:v>
                </c:pt>
                <c:pt idx="5">
                  <c:v>123</c:v>
                </c:pt>
                <c:pt idx="6">
                  <c:v>140</c:v>
                </c:pt>
                <c:pt idx="7">
                  <c:v>116</c:v>
                </c:pt>
              </c:numCache>
            </c:numRef>
          </c:val>
          <c:extLst>
            <c:ext xmlns:c16="http://schemas.microsoft.com/office/drawing/2014/chart" uri="{C3380CC4-5D6E-409C-BE32-E72D297353CC}">
              <c16:uniqueId val="{00000000-9DD6-46BF-B689-61A4E570B009}"/>
            </c:ext>
          </c:extLst>
        </c:ser>
        <c:dLbls>
          <c:showLegendKey val="0"/>
          <c:showVal val="0"/>
          <c:showCatName val="0"/>
          <c:showSerName val="0"/>
          <c:showPercent val="0"/>
          <c:showBubbleSize val="0"/>
        </c:dLbls>
        <c:gapWidth val="219"/>
        <c:overlap val="-27"/>
        <c:axId val="1640660463"/>
        <c:axId val="1640660943"/>
      </c:barChart>
      <c:catAx>
        <c:axId val="164066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640660943"/>
        <c:crosses val="autoZero"/>
        <c:auto val="1"/>
        <c:lblAlgn val="ctr"/>
        <c:lblOffset val="100"/>
        <c:noMultiLvlLbl val="0"/>
      </c:catAx>
      <c:valAx>
        <c:axId val="1640660943"/>
        <c:scaling>
          <c:orientation val="minMax"/>
        </c:scaling>
        <c:delete val="1"/>
        <c:axPos val="l"/>
        <c:numFmt formatCode="0" sourceLinked="1"/>
        <c:majorTickMark val="none"/>
        <c:minorTickMark val="none"/>
        <c:tickLblPos val="nextTo"/>
        <c:crossAx val="16406604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 Data.xlsx]Pivot Report!PivotTable9</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8.1148484706753704E-2"/>
          <c:y val="0.16055007765007745"/>
          <c:w val="0.30626772431748706"/>
          <c:h val="0.65034749276627746"/>
        </c:manualLayout>
      </c:layout>
      <c:pieChart>
        <c:varyColors val="1"/>
        <c:ser>
          <c:idx val="0"/>
          <c:order val="0"/>
          <c:tx>
            <c:strRef>
              <c:f>'Pivot Report'!$G$51</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A89A-450E-A02A-B59FC2A00C7E}"/>
              </c:ext>
            </c:extLst>
          </c:dPt>
          <c:dPt>
            <c:idx val="1"/>
            <c:bubble3D val="0"/>
            <c:spPr>
              <a:solidFill>
                <a:schemeClr val="accent2"/>
              </a:solidFill>
              <a:ln>
                <a:noFill/>
              </a:ln>
              <a:effectLst/>
            </c:spPr>
            <c:extLst>
              <c:ext xmlns:c16="http://schemas.microsoft.com/office/drawing/2014/chart" uri="{C3380CC4-5D6E-409C-BE32-E72D297353CC}">
                <c16:uniqueId val="{00000003-A89A-450E-A02A-B59FC2A00C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Report'!$F$52:$F$54</c:f>
              <c:strCache>
                <c:ptCount val="2"/>
                <c:pt idx="0">
                  <c:v>Delay</c:v>
                </c:pt>
                <c:pt idx="1">
                  <c:v>Ontime</c:v>
                </c:pt>
              </c:strCache>
            </c:strRef>
          </c:cat>
          <c:val>
            <c:numRef>
              <c:f>'Pivot Report'!$G$52:$G$54</c:f>
              <c:numCache>
                <c:formatCode>0</c:formatCode>
                <c:ptCount val="2"/>
                <c:pt idx="0">
                  <c:v>630</c:v>
                </c:pt>
                <c:pt idx="1">
                  <c:v>394</c:v>
                </c:pt>
              </c:numCache>
            </c:numRef>
          </c:val>
          <c:extLst>
            <c:ext xmlns:c16="http://schemas.microsoft.com/office/drawing/2014/chart" uri="{C3380CC4-5D6E-409C-BE32-E72D297353CC}">
              <c16:uniqueId val="{00000004-A89A-450E-A02A-B59FC2A00C7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6.217574616788419E-2"/>
          <c:y val="2.4948106288564607E-2"/>
          <c:w val="0.35350163413059243"/>
          <c:h val="8.2263092224977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 Data.xlsx]Pivot Report!PivotTable10</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2011561747192528"/>
          <c:y val="0.15084376887938716"/>
          <c:w val="0.6036750614960239"/>
          <c:h val="0.84915618705280671"/>
        </c:manualLayout>
      </c:layout>
      <c:doughnutChart>
        <c:varyColors val="1"/>
        <c:ser>
          <c:idx val="0"/>
          <c:order val="0"/>
          <c:tx>
            <c:strRef>
              <c:f>'Pivot Report'!$G$56</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BD34-4FE3-96B2-2F5492DE133A}"/>
              </c:ext>
            </c:extLst>
          </c:dPt>
          <c:dPt>
            <c:idx val="1"/>
            <c:bubble3D val="0"/>
            <c:spPr>
              <a:solidFill>
                <a:schemeClr val="accent2"/>
              </a:solidFill>
              <a:ln>
                <a:noFill/>
              </a:ln>
              <a:effectLst/>
            </c:spPr>
            <c:extLst>
              <c:ext xmlns:c16="http://schemas.microsoft.com/office/drawing/2014/chart" uri="{C3380CC4-5D6E-409C-BE32-E72D297353CC}">
                <c16:uniqueId val="{00000003-BD34-4FE3-96B2-2F5492DE13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Report'!$F$57:$F$59</c:f>
              <c:strCache>
                <c:ptCount val="2"/>
                <c:pt idx="0">
                  <c:v>Female</c:v>
                </c:pt>
                <c:pt idx="1">
                  <c:v>Male</c:v>
                </c:pt>
              </c:strCache>
            </c:strRef>
          </c:cat>
          <c:val>
            <c:numRef>
              <c:f>'Pivot Report'!$G$57:$G$59</c:f>
              <c:numCache>
                <c:formatCode>0</c:formatCode>
                <c:ptCount val="2"/>
                <c:pt idx="0">
                  <c:v>241</c:v>
                </c:pt>
                <c:pt idx="1">
                  <c:v>253</c:v>
                </c:pt>
              </c:numCache>
            </c:numRef>
          </c:val>
          <c:extLst>
            <c:ext xmlns:c16="http://schemas.microsoft.com/office/drawing/2014/chart" uri="{C3380CC4-5D6E-409C-BE32-E72D297353CC}">
              <c16:uniqueId val="{00000007-EB46-44D3-8E4C-A596B4D77C9D}"/>
            </c:ext>
          </c:extLst>
        </c:ser>
        <c:dLbls>
          <c:showLegendKey val="0"/>
          <c:showVal val="0"/>
          <c:showCatName val="0"/>
          <c:showSerName val="0"/>
          <c:showPercent val="1"/>
          <c:showBubbleSize val="0"/>
          <c:showLeaderLines val="1"/>
        </c:dLbls>
        <c:firstSliceAng val="0"/>
        <c:holeSize val="46"/>
      </c:doughnutChart>
      <c:spPr>
        <a:noFill/>
        <a:ln>
          <a:noFill/>
        </a:ln>
        <a:effectLst/>
      </c:spPr>
    </c:plotArea>
    <c:legend>
      <c:legendPos val="r"/>
      <c:layout>
        <c:manualLayout>
          <c:xMode val="edge"/>
          <c:yMode val="edge"/>
          <c:x val="0.10759669608687703"/>
          <c:y val="7.3040804588433237E-3"/>
          <c:w val="0.50472681717920065"/>
          <c:h val="7.37093918899585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 Data.xlsx]Pivot Report!PivotTable11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94019977117384"/>
          <c:y val="0.11991039125363279"/>
          <c:w val="0.66690168845915587"/>
          <c:h val="0.83135715062402593"/>
        </c:manualLayout>
      </c:layout>
      <c:barChart>
        <c:barDir val="bar"/>
        <c:grouping val="clustered"/>
        <c:varyColors val="0"/>
        <c:ser>
          <c:idx val="0"/>
          <c:order val="0"/>
          <c:tx>
            <c:strRef>
              <c:f>'Pivot Report'!$G$61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Report'!$F$62:$F$70</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Report'!$G$62:$G$70</c:f>
              <c:numCache>
                <c:formatCode>0</c:formatCode>
                <c:ptCount val="8"/>
                <c:pt idx="0">
                  <c:v>6</c:v>
                </c:pt>
                <c:pt idx="1">
                  <c:v>8</c:v>
                </c:pt>
                <c:pt idx="2">
                  <c:v>8</c:v>
                </c:pt>
                <c:pt idx="3">
                  <c:v>11</c:v>
                </c:pt>
                <c:pt idx="4">
                  <c:v>17</c:v>
                </c:pt>
                <c:pt idx="5">
                  <c:v>49</c:v>
                </c:pt>
                <c:pt idx="6">
                  <c:v>92</c:v>
                </c:pt>
                <c:pt idx="7">
                  <c:v>303</c:v>
                </c:pt>
              </c:numCache>
            </c:numRef>
          </c:val>
          <c:extLst>
            <c:ext xmlns:c16="http://schemas.microsoft.com/office/drawing/2014/chart" uri="{C3380CC4-5D6E-409C-BE32-E72D297353CC}">
              <c16:uniqueId val="{00000003-4955-4C61-82BB-EF89390EA373}"/>
            </c:ext>
          </c:extLst>
        </c:ser>
        <c:dLbls>
          <c:showLegendKey val="0"/>
          <c:showVal val="0"/>
          <c:showCatName val="0"/>
          <c:showSerName val="0"/>
          <c:showPercent val="0"/>
          <c:showBubbleSize val="0"/>
        </c:dLbls>
        <c:gapWidth val="186"/>
        <c:overlap val="12"/>
        <c:axId val="1588541312"/>
        <c:axId val="1588535552"/>
      </c:barChart>
      <c:catAx>
        <c:axId val="158854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588535552"/>
        <c:crosses val="autoZero"/>
        <c:auto val="1"/>
        <c:lblAlgn val="ctr"/>
        <c:lblOffset val="100"/>
        <c:noMultiLvlLbl val="0"/>
      </c:catAx>
      <c:valAx>
        <c:axId val="1588535552"/>
        <c:scaling>
          <c:orientation val="minMax"/>
        </c:scaling>
        <c:delete val="1"/>
        <c:axPos val="b"/>
        <c:numFmt formatCode="0" sourceLinked="1"/>
        <c:majorTickMark val="none"/>
        <c:minorTickMark val="none"/>
        <c:tickLblPos val="nextTo"/>
        <c:crossAx val="158854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 Data.xlsx]Pivot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54370153486546E-3"/>
          <c:y val="6.369967469777002E-2"/>
          <c:w val="0.91196737743267298"/>
          <c:h val="0.71466216348891554"/>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Report'!$D$5:$D$36</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1-32A4-4265-A1CC-62FCC281449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07642960"/>
        <c:axId val="707642480"/>
      </c:areaChart>
      <c:catAx>
        <c:axId val="7076429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707642480"/>
        <c:crosses val="autoZero"/>
        <c:auto val="1"/>
        <c:lblAlgn val="ctr"/>
        <c:lblOffset val="100"/>
        <c:noMultiLvlLbl val="0"/>
      </c:catAx>
      <c:valAx>
        <c:axId val="707642480"/>
        <c:scaling>
          <c:orientation val="minMax"/>
        </c:scaling>
        <c:delete val="1"/>
        <c:axPos val="l"/>
        <c:numFmt formatCode="General" sourceLinked="1"/>
        <c:majorTickMark val="out"/>
        <c:minorTickMark val="none"/>
        <c:tickLblPos val="nextTo"/>
        <c:crossAx val="707642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 Data.xlsx]Pivot Report!PivotTable5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0448869411192E-2"/>
          <c:y val="0.23280384484631947"/>
          <c:w val="0.84435816739708025"/>
          <c:h val="0.53439231030736112"/>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Report'!$G$5:$G$36</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1-B1D8-4524-ACE8-E6BA5562B1D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17509119"/>
        <c:axId val="485555343"/>
      </c:areaChart>
      <c:catAx>
        <c:axId val="3175091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85555343"/>
        <c:crosses val="autoZero"/>
        <c:auto val="1"/>
        <c:lblAlgn val="ctr"/>
        <c:lblOffset val="100"/>
        <c:noMultiLvlLbl val="0"/>
      </c:catAx>
      <c:valAx>
        <c:axId val="485555343"/>
        <c:scaling>
          <c:orientation val="minMax"/>
        </c:scaling>
        <c:delete val="1"/>
        <c:axPos val="l"/>
        <c:numFmt formatCode="0.00" sourceLinked="1"/>
        <c:majorTickMark val="out"/>
        <c:minorTickMark val="none"/>
        <c:tickLblPos val="nextTo"/>
        <c:crossAx val="3175091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 Data.xlsx]Pivot Report!PivotTable6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Report'!$J$5:$J$36</c:f>
              <c:numCache>
                <c:formatCode>0.00</c:formatCode>
                <c:ptCount val="31"/>
                <c:pt idx="0">
                  <c:v>5.2</c:v>
                </c:pt>
                <c:pt idx="1">
                  <c:v>4.4444444444444446</c:v>
                </c:pt>
                <c:pt idx="2">
                  <c:v>6.2727272727272725</c:v>
                </c:pt>
                <c:pt idx="3">
                  <c:v>4.5999999999999996</c:v>
                </c:pt>
                <c:pt idx="4">
                  <c:v>5.5</c:v>
                </c:pt>
                <c:pt idx="5">
                  <c:v>5.4285714285714288</c:v>
                </c:pt>
                <c:pt idx="6">
                  <c:v>9.5</c:v>
                </c:pt>
                <c:pt idx="7">
                  <c:v>2.1666666666666665</c:v>
                </c:pt>
                <c:pt idx="8">
                  <c:v>5.333333333333333</c:v>
                </c:pt>
                <c:pt idx="9">
                  <c:v>4.1428571428571432</c:v>
                </c:pt>
                <c:pt idx="10">
                  <c:v>2.75</c:v>
                </c:pt>
                <c:pt idx="11">
                  <c:v>4.4000000000000004</c:v>
                </c:pt>
                <c:pt idx="12">
                  <c:v>5.5</c:v>
                </c:pt>
                <c:pt idx="13">
                  <c:v>6.4</c:v>
                </c:pt>
                <c:pt idx="14">
                  <c:v>5.25</c:v>
                </c:pt>
                <c:pt idx="15">
                  <c:v>6</c:v>
                </c:pt>
                <c:pt idx="16">
                  <c:v>5.1428571428571432</c:v>
                </c:pt>
                <c:pt idx="17">
                  <c:v>5.25</c:v>
                </c:pt>
                <c:pt idx="18">
                  <c:v>6</c:v>
                </c:pt>
                <c:pt idx="19">
                  <c:v>5.4375</c:v>
                </c:pt>
                <c:pt idx="20">
                  <c:v>4.5</c:v>
                </c:pt>
                <c:pt idx="21">
                  <c:v>4.7142857142857144</c:v>
                </c:pt>
                <c:pt idx="22">
                  <c:v>7.375</c:v>
                </c:pt>
                <c:pt idx="23">
                  <c:v>4.1428571428571432</c:v>
                </c:pt>
                <c:pt idx="24">
                  <c:v>5.2222222222222223</c:v>
                </c:pt>
                <c:pt idx="25">
                  <c:v>3.375</c:v>
                </c:pt>
                <c:pt idx="26">
                  <c:v>6</c:v>
                </c:pt>
                <c:pt idx="27">
                  <c:v>5.6</c:v>
                </c:pt>
                <c:pt idx="28">
                  <c:v>3.75</c:v>
                </c:pt>
                <c:pt idx="29">
                  <c:v>4.8571428571428568</c:v>
                </c:pt>
                <c:pt idx="30">
                  <c:v>5.5</c:v>
                </c:pt>
              </c:numCache>
            </c:numRef>
          </c:val>
          <c:extLst>
            <c:ext xmlns:c16="http://schemas.microsoft.com/office/drawing/2014/chart" uri="{C3380CC4-5D6E-409C-BE32-E72D297353CC}">
              <c16:uniqueId val="{00000000-B0FF-4B8A-8F46-E964E6D65E1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08608800"/>
        <c:axId val="2108607360"/>
      </c:areaChart>
      <c:catAx>
        <c:axId val="2108608800"/>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08607360"/>
        <c:crosses val="autoZero"/>
        <c:auto val="1"/>
        <c:lblAlgn val="ctr"/>
        <c:lblOffset val="100"/>
        <c:noMultiLvlLbl val="0"/>
      </c:catAx>
      <c:valAx>
        <c:axId val="2108607360"/>
        <c:scaling>
          <c:orientation val="minMax"/>
        </c:scaling>
        <c:delete val="1"/>
        <c:axPos val="l"/>
        <c:numFmt formatCode="0.00" sourceLinked="1"/>
        <c:majorTickMark val="out"/>
        <c:minorTickMark val="none"/>
        <c:tickLblPos val="nextTo"/>
        <c:crossAx val="2108608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g of Patient Satisfaction Sco'!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0</xdr:colOff>
      <xdr:row>45</xdr:row>
      <xdr:rowOff>23445</xdr:rowOff>
    </xdr:from>
    <xdr:to>
      <xdr:col>4</xdr:col>
      <xdr:colOff>422031</xdr:colOff>
      <xdr:row>48</xdr:row>
      <xdr:rowOff>140675</xdr:rowOff>
    </xdr:to>
    <xdr:graphicFrame macro="">
      <xdr:nvGraphicFramePr>
        <xdr:cNvPr id="2" name="Chart 1">
          <a:extLst>
            <a:ext uri="{FF2B5EF4-FFF2-40B4-BE49-F238E27FC236}">
              <a16:creationId xmlns:a16="http://schemas.microsoft.com/office/drawing/2014/main" id="{ED18C2F9-D3CE-5A77-389B-DA1287705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47627</xdr:colOff>
      <xdr:row>0</xdr:row>
      <xdr:rowOff>42863</xdr:rowOff>
    </xdr:from>
    <xdr:to>
      <xdr:col>5</xdr:col>
      <xdr:colOff>19052</xdr:colOff>
      <xdr:row>2</xdr:row>
      <xdr:rowOff>99959</xdr:rowOff>
    </xdr:to>
    <xdr:sp macro="" textlink="">
      <xdr:nvSpPr>
        <xdr:cNvPr id="2" name="Rectangle: Rounded Corners 1">
          <a:extLst>
            <a:ext uri="{FF2B5EF4-FFF2-40B4-BE49-F238E27FC236}">
              <a16:creationId xmlns:a16="http://schemas.microsoft.com/office/drawing/2014/main" id="{86D3D5A8-9DCA-6902-384E-7C8E40D89B64}"/>
            </a:ext>
          </a:extLst>
        </xdr:cNvPr>
        <xdr:cNvSpPr/>
      </xdr:nvSpPr>
      <xdr:spPr>
        <a:xfrm>
          <a:off x="47627" y="42863"/>
          <a:ext cx="3009900" cy="428571"/>
        </a:xfrm>
        <a:prstGeom prst="roundRect">
          <a:avLst>
            <a:gd name="adj" fmla="val 125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1200">
              <a:solidFill>
                <a:schemeClr val="tx1"/>
              </a:solidFill>
            </a:rPr>
            <a:t>      Hospital Emergency Room Dashboard </a:t>
          </a:r>
        </a:p>
      </xdr:txBody>
    </xdr:sp>
    <xdr:clientData/>
  </xdr:twoCellAnchor>
  <xdr:twoCellAnchor editAs="absolute">
    <xdr:from>
      <xdr:col>5</xdr:col>
      <xdr:colOff>48938</xdr:colOff>
      <xdr:row>0</xdr:row>
      <xdr:rowOff>48173</xdr:rowOff>
    </xdr:from>
    <xdr:to>
      <xdr:col>6</xdr:col>
      <xdr:colOff>259146</xdr:colOff>
      <xdr:row>2</xdr:row>
      <xdr:rowOff>99959</xdr:rowOff>
    </xdr:to>
    <xdr:sp macro="" textlink="">
      <xdr:nvSpPr>
        <xdr:cNvPr id="3" name="Rectangle: Rounded Corners 2">
          <a:extLst>
            <a:ext uri="{FF2B5EF4-FFF2-40B4-BE49-F238E27FC236}">
              <a16:creationId xmlns:a16="http://schemas.microsoft.com/office/drawing/2014/main" id="{7BBEBF3C-9F7D-5F2D-32B6-87088ACFF7BE}"/>
            </a:ext>
          </a:extLst>
        </xdr:cNvPr>
        <xdr:cNvSpPr/>
      </xdr:nvSpPr>
      <xdr:spPr>
        <a:xfrm>
          <a:off x="3083034" y="48173"/>
          <a:ext cx="818932" cy="429173"/>
        </a:xfrm>
        <a:prstGeom prst="roundRect">
          <a:avLst>
            <a:gd name="adj" fmla="val 1258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302937</xdr:colOff>
      <xdr:row>0</xdr:row>
      <xdr:rowOff>43793</xdr:rowOff>
    </xdr:from>
    <xdr:to>
      <xdr:col>8</xdr:col>
      <xdr:colOff>277538</xdr:colOff>
      <xdr:row>6</xdr:row>
      <xdr:rowOff>12372</xdr:rowOff>
    </xdr:to>
    <xdr:sp macro="" textlink="">
      <xdr:nvSpPr>
        <xdr:cNvPr id="4" name="Rectangle: Rounded Corners 3">
          <a:extLst>
            <a:ext uri="{FF2B5EF4-FFF2-40B4-BE49-F238E27FC236}">
              <a16:creationId xmlns:a16="http://schemas.microsoft.com/office/drawing/2014/main" id="{92AE1F54-A381-81F7-7CC9-6A2F83E8B143}"/>
            </a:ext>
          </a:extLst>
        </xdr:cNvPr>
        <xdr:cNvSpPr/>
      </xdr:nvSpPr>
      <xdr:spPr>
        <a:xfrm>
          <a:off x="3945757" y="43793"/>
          <a:ext cx="1239345" cy="1081690"/>
        </a:xfrm>
        <a:prstGeom prst="roundRect">
          <a:avLst>
            <a:gd name="adj" fmla="val 74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293524</xdr:colOff>
      <xdr:row>0</xdr:row>
      <xdr:rowOff>35033</xdr:rowOff>
    </xdr:from>
    <xdr:to>
      <xdr:col>10</xdr:col>
      <xdr:colOff>187216</xdr:colOff>
      <xdr:row>6</xdr:row>
      <xdr:rowOff>7991</xdr:rowOff>
    </xdr:to>
    <xdr:sp macro="" textlink="">
      <xdr:nvSpPr>
        <xdr:cNvPr id="5" name="Rectangle: Rounded Corners 4">
          <a:extLst>
            <a:ext uri="{FF2B5EF4-FFF2-40B4-BE49-F238E27FC236}">
              <a16:creationId xmlns:a16="http://schemas.microsoft.com/office/drawing/2014/main" id="{F3EF3318-461E-1210-71D0-0954327B1114}"/>
            </a:ext>
          </a:extLst>
        </xdr:cNvPr>
        <xdr:cNvSpPr/>
      </xdr:nvSpPr>
      <xdr:spPr>
        <a:xfrm>
          <a:off x="5208095" y="35033"/>
          <a:ext cx="1236717" cy="1068333"/>
        </a:xfrm>
        <a:prstGeom prst="roundRect">
          <a:avLst>
            <a:gd name="adj" fmla="val 743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48173</xdr:colOff>
      <xdr:row>2</xdr:row>
      <xdr:rowOff>128588</xdr:rowOff>
    </xdr:from>
    <xdr:to>
      <xdr:col>1</xdr:col>
      <xdr:colOff>53318</xdr:colOff>
      <xdr:row>14</xdr:row>
      <xdr:rowOff>223838</xdr:rowOff>
    </xdr:to>
    <xdr:sp macro="" textlink="">
      <xdr:nvSpPr>
        <xdr:cNvPr id="6" name="Rectangle: Rounded Corners 5">
          <a:extLst>
            <a:ext uri="{FF2B5EF4-FFF2-40B4-BE49-F238E27FC236}">
              <a16:creationId xmlns:a16="http://schemas.microsoft.com/office/drawing/2014/main" id="{F67ECEB6-A371-F401-ED8C-8A158D0715CA}"/>
            </a:ext>
          </a:extLst>
        </xdr:cNvPr>
        <xdr:cNvSpPr/>
      </xdr:nvSpPr>
      <xdr:spPr>
        <a:xfrm>
          <a:off x="48173" y="500063"/>
          <a:ext cx="605220" cy="2266950"/>
        </a:xfrm>
        <a:prstGeom prst="roundRect">
          <a:avLst>
            <a:gd name="adj" fmla="val 786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88354</xdr:colOff>
      <xdr:row>2</xdr:row>
      <xdr:rowOff>130612</xdr:rowOff>
    </xdr:from>
    <xdr:to>
      <xdr:col>2</xdr:col>
      <xdr:colOff>521905</xdr:colOff>
      <xdr:row>6</xdr:row>
      <xdr:rowOff>56165</xdr:rowOff>
    </xdr:to>
    <xdr:sp macro="" textlink="">
      <xdr:nvSpPr>
        <xdr:cNvPr id="7" name="Rectangle: Rounded Corners 6">
          <a:extLst>
            <a:ext uri="{FF2B5EF4-FFF2-40B4-BE49-F238E27FC236}">
              <a16:creationId xmlns:a16="http://schemas.microsoft.com/office/drawing/2014/main" id="{09358BBB-2B21-2D74-166A-A6195698E716}"/>
            </a:ext>
          </a:extLst>
        </xdr:cNvPr>
        <xdr:cNvSpPr/>
      </xdr:nvSpPr>
      <xdr:spPr>
        <a:xfrm>
          <a:off x="687553" y="507999"/>
          <a:ext cx="1042275" cy="661277"/>
        </a:xfrm>
        <a:prstGeom prst="roundRect">
          <a:avLst>
            <a:gd name="adj" fmla="val 786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570077</xdr:colOff>
      <xdr:row>2</xdr:row>
      <xdr:rowOff>130612</xdr:rowOff>
    </xdr:from>
    <xdr:to>
      <xdr:col>4</xdr:col>
      <xdr:colOff>386145</xdr:colOff>
      <xdr:row>6</xdr:row>
      <xdr:rowOff>51786</xdr:rowOff>
    </xdr:to>
    <xdr:sp macro="" textlink="">
      <xdr:nvSpPr>
        <xdr:cNvPr id="8" name="Rectangle: Rounded Corners 7">
          <a:extLst>
            <a:ext uri="{FF2B5EF4-FFF2-40B4-BE49-F238E27FC236}">
              <a16:creationId xmlns:a16="http://schemas.microsoft.com/office/drawing/2014/main" id="{8F1B134F-214F-4C59-A910-18B6BCFA9632}"/>
            </a:ext>
          </a:extLst>
        </xdr:cNvPr>
        <xdr:cNvSpPr/>
      </xdr:nvSpPr>
      <xdr:spPr>
        <a:xfrm>
          <a:off x="1778000" y="507999"/>
          <a:ext cx="1033517" cy="656898"/>
        </a:xfrm>
        <a:prstGeom prst="roundRect">
          <a:avLst>
            <a:gd name="adj" fmla="val 786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438697</xdr:colOff>
      <xdr:row>2</xdr:row>
      <xdr:rowOff>130613</xdr:rowOff>
    </xdr:from>
    <xdr:to>
      <xdr:col>6</xdr:col>
      <xdr:colOff>254766</xdr:colOff>
      <xdr:row>6</xdr:row>
      <xdr:rowOff>51787</xdr:rowOff>
    </xdr:to>
    <xdr:sp macro="" textlink="">
      <xdr:nvSpPr>
        <xdr:cNvPr id="9" name="Rectangle: Rounded Corners 8">
          <a:extLst>
            <a:ext uri="{FF2B5EF4-FFF2-40B4-BE49-F238E27FC236}">
              <a16:creationId xmlns:a16="http://schemas.microsoft.com/office/drawing/2014/main" id="{B3503CDF-F38D-7396-1BF7-E9AA18727100}"/>
            </a:ext>
          </a:extLst>
        </xdr:cNvPr>
        <xdr:cNvSpPr/>
      </xdr:nvSpPr>
      <xdr:spPr>
        <a:xfrm>
          <a:off x="2864069" y="508000"/>
          <a:ext cx="1033517" cy="656898"/>
        </a:xfrm>
        <a:prstGeom prst="roundRect">
          <a:avLst>
            <a:gd name="adj" fmla="val 786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83975</xdr:colOff>
      <xdr:row>8</xdr:row>
      <xdr:rowOff>143750</xdr:rowOff>
    </xdr:from>
    <xdr:to>
      <xdr:col>6</xdr:col>
      <xdr:colOff>263525</xdr:colOff>
      <xdr:row>14</xdr:row>
      <xdr:rowOff>228600</xdr:rowOff>
    </xdr:to>
    <xdr:sp macro="" textlink="">
      <xdr:nvSpPr>
        <xdr:cNvPr id="10" name="Rectangle: Rounded Corners 9">
          <a:extLst>
            <a:ext uri="{FF2B5EF4-FFF2-40B4-BE49-F238E27FC236}">
              <a16:creationId xmlns:a16="http://schemas.microsoft.com/office/drawing/2014/main" id="{536774C1-E9B0-5810-BEAD-294467E2830F}"/>
            </a:ext>
          </a:extLst>
        </xdr:cNvPr>
        <xdr:cNvSpPr/>
      </xdr:nvSpPr>
      <xdr:spPr>
        <a:xfrm>
          <a:off x="684050" y="1601075"/>
          <a:ext cx="3227550" cy="1170700"/>
        </a:xfrm>
        <a:prstGeom prst="roundRect">
          <a:avLst>
            <a:gd name="adj" fmla="val 497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83975</xdr:colOff>
      <xdr:row>6</xdr:row>
      <xdr:rowOff>82440</xdr:rowOff>
    </xdr:from>
    <xdr:to>
      <xdr:col>6</xdr:col>
      <xdr:colOff>254765</xdr:colOff>
      <xdr:row>8</xdr:row>
      <xdr:rowOff>113095</xdr:rowOff>
    </xdr:to>
    <xdr:sp macro="" textlink="">
      <xdr:nvSpPr>
        <xdr:cNvPr id="11" name="Rectangle: Rounded Corners 10">
          <a:extLst>
            <a:ext uri="{FF2B5EF4-FFF2-40B4-BE49-F238E27FC236}">
              <a16:creationId xmlns:a16="http://schemas.microsoft.com/office/drawing/2014/main" id="{0F3DF902-B67D-E88E-31AC-DA7902C7312A}"/>
            </a:ext>
          </a:extLst>
        </xdr:cNvPr>
        <xdr:cNvSpPr/>
      </xdr:nvSpPr>
      <xdr:spPr>
        <a:xfrm>
          <a:off x="684050" y="1177815"/>
          <a:ext cx="3218790" cy="392605"/>
        </a:xfrm>
        <a:prstGeom prst="roundRect">
          <a:avLst>
            <a:gd name="adj" fmla="val 1351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316075</xdr:colOff>
      <xdr:row>6</xdr:row>
      <xdr:rowOff>36787</xdr:rowOff>
    </xdr:from>
    <xdr:to>
      <xdr:col>10</xdr:col>
      <xdr:colOff>193129</xdr:colOff>
      <xdr:row>14</xdr:row>
      <xdr:rowOff>214313</xdr:rowOff>
    </xdr:to>
    <xdr:sp macro="" textlink="">
      <xdr:nvSpPr>
        <xdr:cNvPr id="12" name="Rectangle: Rounded Corners 11">
          <a:extLst>
            <a:ext uri="{FF2B5EF4-FFF2-40B4-BE49-F238E27FC236}">
              <a16:creationId xmlns:a16="http://schemas.microsoft.com/office/drawing/2014/main" id="{815AB5B3-FF27-C460-8FE8-E6AD21A35037}"/>
            </a:ext>
          </a:extLst>
        </xdr:cNvPr>
        <xdr:cNvSpPr/>
      </xdr:nvSpPr>
      <xdr:spPr>
        <a:xfrm>
          <a:off x="3968420" y="1145628"/>
          <a:ext cx="2483619" cy="1648975"/>
        </a:xfrm>
        <a:prstGeom prst="roundRect">
          <a:avLst>
            <a:gd name="adj" fmla="val 299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47623</xdr:colOff>
      <xdr:row>0</xdr:row>
      <xdr:rowOff>52389</xdr:rowOff>
    </xdr:from>
    <xdr:to>
      <xdr:col>0</xdr:col>
      <xdr:colOff>476248</xdr:colOff>
      <xdr:row>2</xdr:row>
      <xdr:rowOff>90487</xdr:rowOff>
    </xdr:to>
    <xdr:pic>
      <xdr:nvPicPr>
        <xdr:cNvPr id="19" name="Picture 18">
          <a:extLst>
            <a:ext uri="{FF2B5EF4-FFF2-40B4-BE49-F238E27FC236}">
              <a16:creationId xmlns:a16="http://schemas.microsoft.com/office/drawing/2014/main" id="{40E2D77A-315B-5FE9-4DA5-146D2AD4EA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101" t="8539" r="20341" b="4877"/>
        <a:stretch>
          <a:fillRect/>
        </a:stretch>
      </xdr:blipFill>
      <xdr:spPr>
        <a:xfrm>
          <a:off x="47623" y="52389"/>
          <a:ext cx="428625" cy="409573"/>
        </a:xfrm>
        <a:prstGeom prst="rect">
          <a:avLst/>
        </a:prstGeom>
      </xdr:spPr>
    </xdr:pic>
    <xdr:clientData/>
  </xdr:twoCellAnchor>
  <xdr:oneCellAnchor>
    <xdr:from>
      <xdr:col>1</xdr:col>
      <xdr:colOff>600075</xdr:colOff>
      <xdr:row>0</xdr:row>
      <xdr:rowOff>142876</xdr:rowOff>
    </xdr:from>
    <xdr:ext cx="876301" cy="307422"/>
    <xdr:sp macro="" textlink="">
      <xdr:nvSpPr>
        <xdr:cNvPr id="22" name="TextBox 21">
          <a:extLst>
            <a:ext uri="{FF2B5EF4-FFF2-40B4-BE49-F238E27FC236}">
              <a16:creationId xmlns:a16="http://schemas.microsoft.com/office/drawing/2014/main" id="{A40DAA64-A202-533E-1060-E4F572684DFA}"/>
            </a:ext>
          </a:extLst>
        </xdr:cNvPr>
        <xdr:cNvSpPr txBox="1"/>
      </xdr:nvSpPr>
      <xdr:spPr>
        <a:xfrm>
          <a:off x="1209675" y="142876"/>
          <a:ext cx="876301" cy="307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800" b="1"/>
            <a:t>Monthly</a:t>
          </a:r>
          <a:r>
            <a:rPr lang="en-IN" sz="1100" baseline="0"/>
            <a:t> </a:t>
          </a:r>
          <a:r>
            <a:rPr lang="en-IN" sz="800" b="1" baseline="0"/>
            <a:t>Report</a:t>
          </a:r>
          <a:endParaRPr lang="en-IN" sz="800" b="1"/>
        </a:p>
      </xdr:txBody>
    </xdr:sp>
    <xdr:clientData/>
  </xdr:oneCellAnchor>
  <xdr:oneCellAnchor>
    <xdr:from>
      <xdr:col>1</xdr:col>
      <xdr:colOff>381001</xdr:colOff>
      <xdr:row>2</xdr:row>
      <xdr:rowOff>109538</xdr:rowOff>
    </xdr:from>
    <xdr:ext cx="485775" cy="276225"/>
    <xdr:sp macro="" textlink="'Pivot Report'!A5">
      <xdr:nvSpPr>
        <xdr:cNvPr id="13" name="TextBox 12">
          <a:extLst>
            <a:ext uri="{FF2B5EF4-FFF2-40B4-BE49-F238E27FC236}">
              <a16:creationId xmlns:a16="http://schemas.microsoft.com/office/drawing/2014/main" id="{B05B4565-6BB0-787A-96E0-A5EB70FF87C1}"/>
            </a:ext>
          </a:extLst>
        </xdr:cNvPr>
        <xdr:cNvSpPr txBox="1"/>
      </xdr:nvSpPr>
      <xdr:spPr>
        <a:xfrm>
          <a:off x="981076" y="481013"/>
          <a:ext cx="485775"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567CBAD1-5D19-476F-BFCA-3E02331BCE03}" type="TxLink">
            <a:rPr lang="en-US" sz="1100" b="0" i="0" u="none" strike="noStrike">
              <a:solidFill>
                <a:srgbClr val="000000"/>
              </a:solidFill>
              <a:latin typeface="Calibri"/>
              <a:ea typeface="Calibri"/>
              <a:cs typeface="Calibri"/>
            </a:rPr>
            <a:pPr algn="l"/>
            <a:t>494</a:t>
          </a:fld>
          <a:endParaRPr lang="en-IN" sz="800" b="1"/>
        </a:p>
      </xdr:txBody>
    </xdr:sp>
    <xdr:clientData/>
  </xdr:oneCellAnchor>
  <xdr:oneCellAnchor>
    <xdr:from>
      <xdr:col>1</xdr:col>
      <xdr:colOff>161927</xdr:colOff>
      <xdr:row>3</xdr:row>
      <xdr:rowOff>85725</xdr:rowOff>
    </xdr:from>
    <xdr:ext cx="833436" cy="238125"/>
    <xdr:sp macro="" textlink="">
      <xdr:nvSpPr>
        <xdr:cNvPr id="14" name="TextBox 13">
          <a:extLst>
            <a:ext uri="{FF2B5EF4-FFF2-40B4-BE49-F238E27FC236}">
              <a16:creationId xmlns:a16="http://schemas.microsoft.com/office/drawing/2014/main" id="{E8BCE2AA-A267-4A71-09A8-BFD3E629AEFD}"/>
            </a:ext>
          </a:extLst>
        </xdr:cNvPr>
        <xdr:cNvSpPr txBox="1"/>
      </xdr:nvSpPr>
      <xdr:spPr>
        <a:xfrm>
          <a:off x="766272" y="642773"/>
          <a:ext cx="833436"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800" b="1"/>
            <a:t>  No.</a:t>
          </a:r>
          <a:r>
            <a:rPr lang="en-IN" sz="800" b="1" baseline="0"/>
            <a:t> of Patient</a:t>
          </a:r>
          <a:endParaRPr lang="en-IN" sz="800" b="1"/>
        </a:p>
      </xdr:txBody>
    </xdr:sp>
    <xdr:clientData/>
  </xdr:oneCellAnchor>
  <xdr:oneCellAnchor>
    <xdr:from>
      <xdr:col>3</xdr:col>
      <xdr:colOff>204789</xdr:colOff>
      <xdr:row>2</xdr:row>
      <xdr:rowOff>114300</xdr:rowOff>
    </xdr:from>
    <xdr:ext cx="519111" cy="276225"/>
    <xdr:sp macro="" textlink="'Pivot Report'!A8">
      <xdr:nvSpPr>
        <xdr:cNvPr id="15" name="TextBox 14">
          <a:extLst>
            <a:ext uri="{FF2B5EF4-FFF2-40B4-BE49-F238E27FC236}">
              <a16:creationId xmlns:a16="http://schemas.microsoft.com/office/drawing/2014/main" id="{EFB3B2E5-A940-5D17-9441-38B57EFE5A53}"/>
            </a:ext>
          </a:extLst>
        </xdr:cNvPr>
        <xdr:cNvSpPr txBox="1"/>
      </xdr:nvSpPr>
      <xdr:spPr>
        <a:xfrm>
          <a:off x="2024064" y="485775"/>
          <a:ext cx="519111"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3FC8171E-A633-408D-A8FB-C1A8315D2DA0}" type="TxLink">
            <a:rPr lang="en-US" sz="1100" b="0" i="0" u="none" strike="noStrike">
              <a:solidFill>
                <a:srgbClr val="000000"/>
              </a:solidFill>
              <a:latin typeface="Calibri"/>
              <a:ea typeface="Calibri"/>
              <a:cs typeface="Calibri"/>
            </a:rPr>
            <a:pPr algn="l"/>
            <a:t>36.39</a:t>
          </a:fld>
          <a:endParaRPr lang="en-US" sz="1100" b="0" i="0" u="none" strike="noStrike">
            <a:solidFill>
              <a:srgbClr val="000000"/>
            </a:solidFill>
            <a:latin typeface="Calibri"/>
            <a:ea typeface="Calibri"/>
            <a:cs typeface="Calibri"/>
          </a:endParaRPr>
        </a:p>
      </xdr:txBody>
    </xdr:sp>
    <xdr:clientData/>
  </xdr:oneCellAnchor>
  <xdr:oneCellAnchor>
    <xdr:from>
      <xdr:col>4</xdr:col>
      <xdr:colOff>442913</xdr:colOff>
      <xdr:row>3</xdr:row>
      <xdr:rowOff>71437</xdr:rowOff>
    </xdr:from>
    <xdr:ext cx="1047750" cy="233363"/>
    <xdr:sp macro="" textlink="">
      <xdr:nvSpPr>
        <xdr:cNvPr id="17" name="TextBox 16">
          <a:extLst>
            <a:ext uri="{FF2B5EF4-FFF2-40B4-BE49-F238E27FC236}">
              <a16:creationId xmlns:a16="http://schemas.microsoft.com/office/drawing/2014/main" id="{7EDC7CE9-1A7E-DA2C-3581-2A739EEB586A}"/>
            </a:ext>
          </a:extLst>
        </xdr:cNvPr>
        <xdr:cNvSpPr txBox="1"/>
      </xdr:nvSpPr>
      <xdr:spPr>
        <a:xfrm>
          <a:off x="2871788" y="623887"/>
          <a:ext cx="1047750" cy="233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800" b="1"/>
            <a:t>Patient</a:t>
          </a:r>
          <a:r>
            <a:rPr lang="en-IN" sz="800" b="1" baseline="0"/>
            <a:t> </a:t>
          </a:r>
          <a:r>
            <a:rPr lang="en-IN" sz="800" b="1"/>
            <a:t>Satisfaction</a:t>
          </a:r>
        </a:p>
      </xdr:txBody>
    </xdr:sp>
    <xdr:clientData/>
  </xdr:oneCellAnchor>
  <xdr:oneCellAnchor>
    <xdr:from>
      <xdr:col>5</xdr:col>
      <xdr:colOff>114302</xdr:colOff>
      <xdr:row>2</xdr:row>
      <xdr:rowOff>119062</xdr:rowOff>
    </xdr:from>
    <xdr:ext cx="485775" cy="276225"/>
    <xdr:sp macro="" textlink="'Pivot Report'!A11">
      <xdr:nvSpPr>
        <xdr:cNvPr id="18" name="TextBox 17">
          <a:extLst>
            <a:ext uri="{FF2B5EF4-FFF2-40B4-BE49-F238E27FC236}">
              <a16:creationId xmlns:a16="http://schemas.microsoft.com/office/drawing/2014/main" id="{71C6934A-1722-59C5-96BC-079BD7945F02}"/>
            </a:ext>
          </a:extLst>
        </xdr:cNvPr>
        <xdr:cNvSpPr txBox="1"/>
      </xdr:nvSpPr>
      <xdr:spPr>
        <a:xfrm>
          <a:off x="3152777" y="490537"/>
          <a:ext cx="485775"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D401350A-1FF5-4F50-AB98-8F18A199B90E}" type="TxLink">
            <a:rPr lang="en-US" sz="1100" b="0" i="0" u="none" strike="noStrike">
              <a:solidFill>
                <a:srgbClr val="000000"/>
              </a:solidFill>
              <a:latin typeface="Calibri"/>
              <a:ea typeface="Calibri"/>
              <a:cs typeface="Calibri"/>
            </a:rPr>
            <a:pPr algn="l"/>
            <a:t>5.06</a:t>
          </a:fld>
          <a:endParaRPr lang="en-IN" sz="800" b="1"/>
        </a:p>
      </xdr:txBody>
    </xdr:sp>
    <xdr:clientData/>
  </xdr:oneCellAnchor>
  <xdr:oneCellAnchor>
    <xdr:from>
      <xdr:col>2</xdr:col>
      <xdr:colOff>561977</xdr:colOff>
      <xdr:row>3</xdr:row>
      <xdr:rowOff>76200</xdr:rowOff>
    </xdr:from>
    <xdr:ext cx="1047748" cy="238125"/>
    <xdr:sp macro="" textlink="">
      <xdr:nvSpPr>
        <xdr:cNvPr id="20" name="TextBox 19">
          <a:extLst>
            <a:ext uri="{FF2B5EF4-FFF2-40B4-BE49-F238E27FC236}">
              <a16:creationId xmlns:a16="http://schemas.microsoft.com/office/drawing/2014/main" id="{499643AA-3B48-9D35-FBB4-5A072772276A}"/>
            </a:ext>
          </a:extLst>
        </xdr:cNvPr>
        <xdr:cNvSpPr txBox="1"/>
      </xdr:nvSpPr>
      <xdr:spPr>
        <a:xfrm>
          <a:off x="1771652" y="628650"/>
          <a:ext cx="1047748"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800" b="1"/>
            <a:t> Average</a:t>
          </a:r>
          <a:r>
            <a:rPr lang="en-IN" sz="800" b="1" baseline="0"/>
            <a:t> Wait Time</a:t>
          </a:r>
          <a:endParaRPr lang="en-IN" sz="800" b="1"/>
        </a:p>
      </xdr:txBody>
    </xdr:sp>
    <xdr:clientData/>
  </xdr:oneCellAnchor>
  <xdr:twoCellAnchor editAs="oneCell">
    <xdr:from>
      <xdr:col>2</xdr:col>
      <xdr:colOff>290512</xdr:colOff>
      <xdr:row>2</xdr:row>
      <xdr:rowOff>128587</xdr:rowOff>
    </xdr:from>
    <xdr:to>
      <xdr:col>2</xdr:col>
      <xdr:colOff>514350</xdr:colOff>
      <xdr:row>3</xdr:row>
      <xdr:rowOff>171450</xdr:rowOff>
    </xdr:to>
    <xdr:pic>
      <xdr:nvPicPr>
        <xdr:cNvPr id="26" name="Graphic 25" descr="Male profile with solid fill">
          <a:extLst>
            <a:ext uri="{FF2B5EF4-FFF2-40B4-BE49-F238E27FC236}">
              <a16:creationId xmlns:a16="http://schemas.microsoft.com/office/drawing/2014/main" id="{90CD9186-6A82-F5AA-6F16-D2E70BF0A1F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09712" y="500062"/>
          <a:ext cx="223838" cy="223838"/>
        </a:xfrm>
        <a:prstGeom prst="rect">
          <a:avLst/>
        </a:prstGeom>
      </xdr:spPr>
    </xdr:pic>
    <xdr:clientData/>
  </xdr:twoCellAnchor>
  <xdr:twoCellAnchor editAs="oneCell">
    <xdr:from>
      <xdr:col>5</xdr:col>
      <xdr:colOff>590550</xdr:colOff>
      <xdr:row>2</xdr:row>
      <xdr:rowOff>119062</xdr:rowOff>
    </xdr:from>
    <xdr:to>
      <xdr:col>6</xdr:col>
      <xdr:colOff>228600</xdr:colOff>
      <xdr:row>4</xdr:row>
      <xdr:rowOff>4762</xdr:rowOff>
    </xdr:to>
    <xdr:pic>
      <xdr:nvPicPr>
        <xdr:cNvPr id="28" name="Graphic 27" descr="Chat with solid fill">
          <a:extLst>
            <a:ext uri="{FF2B5EF4-FFF2-40B4-BE49-F238E27FC236}">
              <a16:creationId xmlns:a16="http://schemas.microsoft.com/office/drawing/2014/main" id="{7E653854-ED16-D62E-7C9A-E4C4C814C0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638550" y="490537"/>
          <a:ext cx="247650" cy="247650"/>
        </a:xfrm>
        <a:prstGeom prst="rect">
          <a:avLst/>
        </a:prstGeom>
      </xdr:spPr>
    </xdr:pic>
    <xdr:clientData/>
  </xdr:twoCellAnchor>
  <xdr:twoCellAnchor editAs="oneCell">
    <xdr:from>
      <xdr:col>4</xdr:col>
      <xdr:colOff>200025</xdr:colOff>
      <xdr:row>2</xdr:row>
      <xdr:rowOff>142875</xdr:rowOff>
    </xdr:from>
    <xdr:to>
      <xdr:col>4</xdr:col>
      <xdr:colOff>376237</xdr:colOff>
      <xdr:row>3</xdr:row>
      <xdr:rowOff>138112</xdr:rowOff>
    </xdr:to>
    <xdr:pic>
      <xdr:nvPicPr>
        <xdr:cNvPr id="30" name="Graphic 29" descr="Hourglass Finished with solid fill">
          <a:extLst>
            <a:ext uri="{FF2B5EF4-FFF2-40B4-BE49-F238E27FC236}">
              <a16:creationId xmlns:a16="http://schemas.microsoft.com/office/drawing/2014/main" id="{47774FEA-F302-AB20-D22F-2ED39A9329A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38425" y="514350"/>
          <a:ext cx="176212" cy="176212"/>
        </a:xfrm>
        <a:prstGeom prst="rect">
          <a:avLst/>
        </a:prstGeom>
      </xdr:spPr>
    </xdr:pic>
    <xdr:clientData/>
  </xdr:twoCellAnchor>
  <xdr:oneCellAnchor>
    <xdr:from>
      <xdr:col>4</xdr:col>
      <xdr:colOff>490538</xdr:colOff>
      <xdr:row>3</xdr:row>
      <xdr:rowOff>157163</xdr:rowOff>
    </xdr:from>
    <xdr:ext cx="714375" cy="276225"/>
    <xdr:sp macro="" textlink="">
      <xdr:nvSpPr>
        <xdr:cNvPr id="31" name="TextBox 30">
          <a:extLst>
            <a:ext uri="{FF2B5EF4-FFF2-40B4-BE49-F238E27FC236}">
              <a16:creationId xmlns:a16="http://schemas.microsoft.com/office/drawing/2014/main" id="{B5A42AFB-CD1F-4AB1-1A8E-67EE03E0171D}"/>
            </a:ext>
          </a:extLst>
        </xdr:cNvPr>
        <xdr:cNvSpPr txBox="1"/>
      </xdr:nvSpPr>
      <xdr:spPr>
        <a:xfrm>
          <a:off x="2919413" y="709613"/>
          <a:ext cx="714375"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800" b="1" baseline="0"/>
            <a:t>           Score</a:t>
          </a:r>
          <a:endParaRPr lang="en-IN" sz="800" b="1"/>
        </a:p>
      </xdr:txBody>
    </xdr:sp>
    <xdr:clientData/>
  </xdr:oneCellAnchor>
  <xdr:twoCellAnchor editAs="oneCell">
    <xdr:from>
      <xdr:col>0</xdr:col>
      <xdr:colOff>66675</xdr:colOff>
      <xdr:row>2</xdr:row>
      <xdr:rowOff>171450</xdr:rowOff>
    </xdr:from>
    <xdr:to>
      <xdr:col>1</xdr:col>
      <xdr:colOff>14288</xdr:colOff>
      <xdr:row>14</xdr:row>
      <xdr:rowOff>200025</xdr:rowOff>
    </xdr:to>
    <mc:AlternateContent xmlns:mc="http://schemas.openxmlformats.org/markup-compatibility/2006" xmlns:a14="http://schemas.microsoft.com/office/drawing/2010/main">
      <mc:Choice Requires="a14">
        <xdr:graphicFrame macro="">
          <xdr:nvGraphicFramePr>
            <xdr:cNvPr id="32" name="Date (Month)">
              <a:extLst>
                <a:ext uri="{FF2B5EF4-FFF2-40B4-BE49-F238E27FC236}">
                  <a16:creationId xmlns:a16="http://schemas.microsoft.com/office/drawing/2014/main" id="{7D1BDB16-CB92-4226-85B8-FBA10DE6D5F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6675" y="542925"/>
              <a:ext cx="547688" cy="2200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323851</xdr:colOff>
      <xdr:row>3</xdr:row>
      <xdr:rowOff>52388</xdr:rowOff>
    </xdr:from>
    <xdr:to>
      <xdr:col>3</xdr:col>
      <xdr:colOff>333376</xdr:colOff>
      <xdr:row>6</xdr:row>
      <xdr:rowOff>161925</xdr:rowOff>
    </xdr:to>
    <xdr:graphicFrame macro="">
      <xdr:nvGraphicFramePr>
        <xdr:cNvPr id="21" name="Chart 20">
          <a:hlinkClick xmlns:r="http://schemas.openxmlformats.org/officeDocument/2006/relationships" r:id="rId8"/>
          <a:extLst>
            <a:ext uri="{FF2B5EF4-FFF2-40B4-BE49-F238E27FC236}">
              <a16:creationId xmlns:a16="http://schemas.microsoft.com/office/drawing/2014/main" id="{AB27B311-4A4B-0FBF-17AC-C6C085DDE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523875</xdr:colOff>
      <xdr:row>3</xdr:row>
      <xdr:rowOff>133350</xdr:rowOff>
    </xdr:from>
    <xdr:to>
      <xdr:col>4</xdr:col>
      <xdr:colOff>528639</xdr:colOff>
      <xdr:row>7</xdr:row>
      <xdr:rowOff>9526</xdr:rowOff>
    </xdr:to>
    <xdr:graphicFrame macro="">
      <xdr:nvGraphicFramePr>
        <xdr:cNvPr id="23" name="Chart 22">
          <a:hlinkClick xmlns:r="http://schemas.openxmlformats.org/officeDocument/2006/relationships" r:id="rId10"/>
          <a:extLst>
            <a:ext uri="{FF2B5EF4-FFF2-40B4-BE49-F238E27FC236}">
              <a16:creationId xmlns:a16="http://schemas.microsoft.com/office/drawing/2014/main" id="{9A9BFD6C-CFBB-41E8-8E67-B0BA9A4B0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310054</xdr:colOff>
      <xdr:row>2</xdr:row>
      <xdr:rowOff>47297</xdr:rowOff>
    </xdr:from>
    <xdr:to>
      <xdr:col>6</xdr:col>
      <xdr:colOff>536027</xdr:colOff>
      <xdr:row>6</xdr:row>
      <xdr:rowOff>136635</xdr:rowOff>
    </xdr:to>
    <xdr:graphicFrame macro="">
      <xdr:nvGraphicFramePr>
        <xdr:cNvPr id="16" name="Chart 15">
          <a:hlinkClick xmlns:r="http://schemas.openxmlformats.org/officeDocument/2006/relationships" r:id="rId12"/>
          <a:extLst>
            <a:ext uri="{FF2B5EF4-FFF2-40B4-BE49-F238E27FC236}">
              <a16:creationId xmlns:a16="http://schemas.microsoft.com/office/drawing/2014/main" id="{E45A182D-801A-4637-B8E5-CDDCB10EE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89338</xdr:colOff>
          <xdr:row>6</xdr:row>
          <xdr:rowOff>89337</xdr:rowOff>
        </xdr:from>
        <xdr:to>
          <xdr:col>6</xdr:col>
          <xdr:colOff>262758</xdr:colOff>
          <xdr:row>8</xdr:row>
          <xdr:rowOff>110358</xdr:rowOff>
        </xdr:to>
        <xdr:pic>
          <xdr:nvPicPr>
            <xdr:cNvPr id="34" name="Picture 33">
              <a:extLst>
                <a:ext uri="{FF2B5EF4-FFF2-40B4-BE49-F238E27FC236}">
                  <a16:creationId xmlns:a16="http://schemas.microsoft.com/office/drawing/2014/main" id="{450ED67D-69DB-37C1-9FF3-E681E532B31C}"/>
                </a:ext>
              </a:extLst>
            </xdr:cNvPr>
            <xdr:cNvPicPr>
              <a:picLocks noChangeAspect="1" noChangeArrowheads="1"/>
              <a:extLst>
                <a:ext uri="{84589F7E-364E-4C9E-8A38-B11213B215E9}">
                  <a14:cameraTool cellRange="'Pivot Report'!$A$46:$D$48" spid="_x0000_s2066"/>
                </a:ext>
              </a:extLst>
            </xdr:cNvPicPr>
          </xdr:nvPicPr>
          <xdr:blipFill>
            <a:blip xmlns:r="http://schemas.openxmlformats.org/officeDocument/2006/relationships" r:embed="rId14"/>
            <a:srcRect/>
            <a:stretch>
              <a:fillRect/>
            </a:stretch>
          </xdr:blipFill>
          <xdr:spPr bwMode="auto">
            <a:xfrm>
              <a:off x="693683" y="1198178"/>
              <a:ext cx="3221420" cy="388883"/>
            </a:xfrm>
            <a:prstGeom prst="roundRect">
              <a:avLst>
                <a:gd name="adj" fmla="val 8594"/>
              </a:avLst>
            </a:prstGeom>
            <a:solidFill>
              <a:srgbClr val="FFFFFF">
                <a:shade val="85000"/>
              </a:srgbClr>
            </a:solidFill>
            <a:ln w="3175">
              <a:noFill/>
            </a:ln>
            <a:effectLst/>
          </xdr:spPr>
        </xdr:pic>
        <xdr:clientData/>
      </xdr:twoCellAnchor>
    </mc:Choice>
    <mc:Fallback/>
  </mc:AlternateContent>
  <xdr:twoCellAnchor>
    <xdr:from>
      <xdr:col>1</xdr:col>
      <xdr:colOff>99849</xdr:colOff>
      <xdr:row>8</xdr:row>
      <xdr:rowOff>131381</xdr:rowOff>
    </xdr:from>
    <xdr:to>
      <xdr:col>6</xdr:col>
      <xdr:colOff>252248</xdr:colOff>
      <xdr:row>14</xdr:row>
      <xdr:rowOff>105104</xdr:rowOff>
    </xdr:to>
    <xdr:graphicFrame macro="">
      <xdr:nvGraphicFramePr>
        <xdr:cNvPr id="24" name="Chart 23">
          <a:extLst>
            <a:ext uri="{FF2B5EF4-FFF2-40B4-BE49-F238E27FC236}">
              <a16:creationId xmlns:a16="http://schemas.microsoft.com/office/drawing/2014/main" id="{7B6132D8-903A-4C89-B0DD-17D0758F2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2</xdr:col>
      <xdr:colOff>324835</xdr:colOff>
      <xdr:row>14</xdr:row>
      <xdr:rowOff>47297</xdr:rowOff>
    </xdr:from>
    <xdr:ext cx="1393605" cy="173420"/>
    <xdr:sp macro="" textlink="">
      <xdr:nvSpPr>
        <xdr:cNvPr id="25" name="TextBox 24">
          <a:extLst>
            <a:ext uri="{FF2B5EF4-FFF2-40B4-BE49-F238E27FC236}">
              <a16:creationId xmlns:a16="http://schemas.microsoft.com/office/drawing/2014/main" id="{3231A337-24CC-889F-BF89-F31E9F293470}"/>
            </a:ext>
          </a:extLst>
        </xdr:cNvPr>
        <xdr:cNvSpPr txBox="1"/>
      </xdr:nvSpPr>
      <xdr:spPr>
        <a:xfrm>
          <a:off x="1538780" y="2627587"/>
          <a:ext cx="1393605" cy="173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800" b="0" i="0" u="none"/>
            <a:t>  No.</a:t>
          </a:r>
          <a:r>
            <a:rPr lang="en-IN" sz="800" b="0" i="0" u="none" baseline="0"/>
            <a:t> of Patient by Age group</a:t>
          </a:r>
          <a:endParaRPr lang="en-IN" sz="800" b="0" i="0" u="none"/>
        </a:p>
      </xdr:txBody>
    </xdr:sp>
    <xdr:clientData/>
  </xdr:oneCellAnchor>
  <xdr:twoCellAnchor>
    <xdr:from>
      <xdr:col>6</xdr:col>
      <xdr:colOff>236481</xdr:colOff>
      <xdr:row>0</xdr:row>
      <xdr:rowOff>10514</xdr:rowOff>
    </xdr:from>
    <xdr:to>
      <xdr:col>10</xdr:col>
      <xdr:colOff>388882</xdr:colOff>
      <xdr:row>6</xdr:row>
      <xdr:rowOff>131381</xdr:rowOff>
    </xdr:to>
    <xdr:graphicFrame macro="">
      <xdr:nvGraphicFramePr>
        <xdr:cNvPr id="27" name="Chart 26">
          <a:extLst>
            <a:ext uri="{FF2B5EF4-FFF2-40B4-BE49-F238E27FC236}">
              <a16:creationId xmlns:a16="http://schemas.microsoft.com/office/drawing/2014/main" id="{F836F47C-A5AD-4C09-881D-F2A5DB875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6</xdr:col>
      <xdr:colOff>324835</xdr:colOff>
      <xdr:row>5</xdr:row>
      <xdr:rowOff>22663</xdr:rowOff>
    </xdr:from>
    <xdr:ext cx="1136101" cy="238125"/>
    <xdr:sp macro="" textlink="">
      <xdr:nvSpPr>
        <xdr:cNvPr id="29" name="TextBox 28">
          <a:extLst>
            <a:ext uri="{FF2B5EF4-FFF2-40B4-BE49-F238E27FC236}">
              <a16:creationId xmlns:a16="http://schemas.microsoft.com/office/drawing/2014/main" id="{953E5BC0-5346-CFEA-B2D3-710E10B64352}"/>
            </a:ext>
          </a:extLst>
        </xdr:cNvPr>
        <xdr:cNvSpPr txBox="1"/>
      </xdr:nvSpPr>
      <xdr:spPr>
        <a:xfrm>
          <a:off x="3977180" y="947573"/>
          <a:ext cx="1136101"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800" b="0"/>
            <a:t>  Patient</a:t>
          </a:r>
          <a:r>
            <a:rPr lang="en-IN" sz="800" b="0" baseline="0"/>
            <a:t> Attand Status</a:t>
          </a:r>
          <a:endParaRPr lang="en-IN" sz="800" b="0"/>
        </a:p>
      </xdr:txBody>
    </xdr:sp>
    <xdr:clientData/>
  </xdr:oneCellAnchor>
  <xdr:twoCellAnchor>
    <xdr:from>
      <xdr:col>8</xdr:col>
      <xdr:colOff>236480</xdr:colOff>
      <xdr:row>0</xdr:row>
      <xdr:rowOff>47297</xdr:rowOff>
    </xdr:from>
    <xdr:to>
      <xdr:col>10</xdr:col>
      <xdr:colOff>641130</xdr:colOff>
      <xdr:row>5</xdr:row>
      <xdr:rowOff>68318</xdr:rowOff>
    </xdr:to>
    <xdr:graphicFrame macro="">
      <xdr:nvGraphicFramePr>
        <xdr:cNvPr id="33" name="Chart 32">
          <a:extLst>
            <a:ext uri="{FF2B5EF4-FFF2-40B4-BE49-F238E27FC236}">
              <a16:creationId xmlns:a16="http://schemas.microsoft.com/office/drawing/2014/main" id="{28EE312A-E56B-4DE8-B667-FD91DD45B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8</xdr:col>
      <xdr:colOff>408919</xdr:colOff>
      <xdr:row>5</xdr:row>
      <xdr:rowOff>22663</xdr:rowOff>
    </xdr:from>
    <xdr:ext cx="1230696" cy="238125"/>
    <xdr:sp macro="" textlink="">
      <xdr:nvSpPr>
        <xdr:cNvPr id="35" name="TextBox 34">
          <a:extLst>
            <a:ext uri="{FF2B5EF4-FFF2-40B4-BE49-F238E27FC236}">
              <a16:creationId xmlns:a16="http://schemas.microsoft.com/office/drawing/2014/main" id="{552DC905-0307-4BA2-6481-AFB5E617CA43}"/>
            </a:ext>
          </a:extLst>
        </xdr:cNvPr>
        <xdr:cNvSpPr txBox="1"/>
      </xdr:nvSpPr>
      <xdr:spPr>
        <a:xfrm>
          <a:off x="5280464" y="947573"/>
          <a:ext cx="1230696"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800" b="0" baseline="0"/>
            <a:t>Gender wise Analysis</a:t>
          </a:r>
          <a:endParaRPr lang="en-IN" sz="800" b="0"/>
        </a:p>
      </xdr:txBody>
    </xdr:sp>
    <xdr:clientData/>
  </xdr:oneCellAnchor>
  <xdr:twoCellAnchor>
    <xdr:from>
      <xdr:col>6</xdr:col>
      <xdr:colOff>257501</xdr:colOff>
      <xdr:row>5</xdr:row>
      <xdr:rowOff>78829</xdr:rowOff>
    </xdr:from>
    <xdr:to>
      <xdr:col>10</xdr:col>
      <xdr:colOff>404647</xdr:colOff>
      <xdr:row>14</xdr:row>
      <xdr:rowOff>152400</xdr:rowOff>
    </xdr:to>
    <xdr:graphicFrame macro="">
      <xdr:nvGraphicFramePr>
        <xdr:cNvPr id="36" name="Chart 35">
          <a:extLst>
            <a:ext uri="{FF2B5EF4-FFF2-40B4-BE49-F238E27FC236}">
              <a16:creationId xmlns:a16="http://schemas.microsoft.com/office/drawing/2014/main" id="{0EE8B04F-6851-4BA0-978B-0E6FC728B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7</xdr:col>
      <xdr:colOff>20035</xdr:colOff>
      <xdr:row>14</xdr:row>
      <xdr:rowOff>27918</xdr:rowOff>
    </xdr:from>
    <xdr:ext cx="1771977" cy="238125"/>
    <xdr:sp macro="" textlink="">
      <xdr:nvSpPr>
        <xdr:cNvPr id="37" name="TextBox 36">
          <a:extLst>
            <a:ext uri="{FF2B5EF4-FFF2-40B4-BE49-F238E27FC236}">
              <a16:creationId xmlns:a16="http://schemas.microsoft.com/office/drawing/2014/main" id="{9A504535-7F0F-93F3-C6D6-D729763C17A8}"/>
            </a:ext>
          </a:extLst>
        </xdr:cNvPr>
        <xdr:cNvSpPr txBox="1"/>
      </xdr:nvSpPr>
      <xdr:spPr>
        <a:xfrm>
          <a:off x="4281980" y="2608208"/>
          <a:ext cx="1771977"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800" b="0" baseline="0"/>
            <a:t>No. of Patient by Department Referal</a:t>
          </a:r>
          <a:endParaRPr lang="en-IN" sz="800" b="0"/>
        </a:p>
      </xdr:txBody>
    </xdr:sp>
    <xdr:clientData/>
  </xdr:oneCellAnchor>
  <xdr:twoCellAnchor editAs="oneCell">
    <xdr:from>
      <xdr:col>5</xdr:col>
      <xdr:colOff>126121</xdr:colOff>
      <xdr:row>0</xdr:row>
      <xdr:rowOff>78828</xdr:rowOff>
    </xdr:from>
    <xdr:to>
      <xdr:col>6</xdr:col>
      <xdr:colOff>220717</xdr:colOff>
      <xdr:row>2</xdr:row>
      <xdr:rowOff>68316</xdr:rowOff>
    </xdr:to>
    <mc:AlternateContent xmlns:mc="http://schemas.openxmlformats.org/markup-compatibility/2006" xmlns:a14="http://schemas.microsoft.com/office/drawing/2010/main">
      <mc:Choice Requires="a14">
        <xdr:graphicFrame macro="">
          <xdr:nvGraphicFramePr>
            <xdr:cNvPr id="38" name="Date (Year)">
              <a:extLst>
                <a:ext uri="{FF2B5EF4-FFF2-40B4-BE49-F238E27FC236}">
                  <a16:creationId xmlns:a16="http://schemas.microsoft.com/office/drawing/2014/main" id="{76C31EAA-CDEC-4EC9-B7E3-F85F04F2571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168518" y="78828"/>
              <a:ext cx="705317" cy="364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143282</xdr:colOff>
      <xdr:row>19</xdr:row>
      <xdr:rowOff>22860</xdr:rowOff>
    </xdr:to>
    <xdr:graphicFrame macro="">
      <xdr:nvGraphicFramePr>
        <xdr:cNvPr id="2" name="Chart 1">
          <a:extLst>
            <a:ext uri="{FF2B5EF4-FFF2-40B4-BE49-F238E27FC236}">
              <a16:creationId xmlns:a16="http://schemas.microsoft.com/office/drawing/2014/main" id="{FFCCEDFE-0455-48BD-A9FB-6BD779D46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0.0015</cdr:x>
      <cdr:y>0</cdr:y>
    </cdr:from>
    <cdr:to>
      <cdr:x>0.02756</cdr:x>
      <cdr:y>0.0971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780B027-6A73-AF39-3998-1A90F6886F2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9538" y="0"/>
          <a:ext cx="338667" cy="338667"/>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601980</xdr:colOff>
      <xdr:row>23</xdr:row>
      <xdr:rowOff>177031</xdr:rowOff>
    </xdr:to>
    <xdr:graphicFrame macro="">
      <xdr:nvGraphicFramePr>
        <xdr:cNvPr id="2" name="Chart 1">
          <a:extLst>
            <a:ext uri="{FF2B5EF4-FFF2-40B4-BE49-F238E27FC236}">
              <a16:creationId xmlns:a16="http://schemas.microsoft.com/office/drawing/2014/main" id="{682C9F7B-BFE3-4279-84E0-2416591F8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454121</xdr:colOff>
      <xdr:row>2</xdr:row>
      <xdr:rowOff>84666</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0A5251C7-42C6-7F5C-CD27-C5CDFB0F008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454121" cy="4541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198120</xdr:colOff>
      <xdr:row>18</xdr:row>
      <xdr:rowOff>15240</xdr:rowOff>
    </xdr:to>
    <xdr:graphicFrame macro="">
      <xdr:nvGraphicFramePr>
        <xdr:cNvPr id="2" name="Chart 1">
          <a:extLst>
            <a:ext uri="{FF2B5EF4-FFF2-40B4-BE49-F238E27FC236}">
              <a16:creationId xmlns:a16="http://schemas.microsoft.com/office/drawing/2014/main" id="{943203B2-C104-4804-8159-0A21BFE19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0</xdr:row>
      <xdr:rowOff>60960</xdr:rowOff>
    </xdr:from>
    <xdr:to>
      <xdr:col>0</xdr:col>
      <xdr:colOff>335280</xdr:colOff>
      <xdr:row>2</xdr:row>
      <xdr:rowOff>15240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A522E5F7-253B-FEAC-DDFB-C8F99D7D038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240" y="60960"/>
          <a:ext cx="320040" cy="3200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RI" refreshedDate="46075.784105439816" createdVersion="5" refreshedVersion="8" minRefreshableVersion="3" recordCount="0" supportSubquery="1" supportAdvancedDrill="1" xr:uid="{48E1B39E-F8E6-4E53-8F83-5AC34FFC6677}">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nd Status]" caption="Patient Attand Status" attribute="1" defaultMemberUniqueName="[Hospital Emergency Room Data].[Patient Attand Status].[All]" allUniqueName="[Hospital Emergency Room Data].[Patient Atta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nd Status]" caption="Count of Patient Att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RI" refreshedDate="46075.784106597224" createdVersion="5" refreshedVersion="8" minRefreshableVersion="3" recordCount="0" supportSubquery="1" supportAdvancedDrill="1" xr:uid="{2CE0BD6D-B1EF-4071-A3E8-9BDA3A37E75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nd Status]" caption="Patient Attand Status" attribute="1" defaultMemberUniqueName="[Hospital Emergency Room Data].[Patient Attand Status].[All]" allUniqueName="[Hospital Emergency Room Data].[Patient Atta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nd Status]" caption="Count of Patient Att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RI" refreshedDate="46075.784107523148" createdVersion="5" refreshedVersion="8" minRefreshableVersion="3" recordCount="0" supportSubquery="1" supportAdvancedDrill="1" xr:uid="{81E91D1F-28F4-467F-93AA-AACDE2B5D705}">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nd Status]" caption="Patient Attand Status" attribute="1" defaultMemberUniqueName="[Hospital Emergency Room Data].[Patient Attand Status].[All]" allUniqueName="[Hospital Emergency Room Data].[Patient Atta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nd Status]" caption="Count of Patient Att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RI" refreshedDate="46075.784108564818" createdVersion="5" refreshedVersion="8" minRefreshableVersion="3" recordCount="0" supportSubquery="1" supportAdvancedDrill="1" xr:uid="{47DCDE00-A974-439B-BCE9-D0FE88BEF13A}">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nd Status]" caption="Patient Attand Status" attribute="1" defaultMemberUniqueName="[Hospital Emergency Room Data].[Patient Attand Status].[All]" allUniqueName="[Hospital Emergency Room Data].[Patient Atta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nd Status]" caption="Count of Patient Att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RI" refreshedDate="46075.784109953704" createdVersion="5" refreshedVersion="8" minRefreshableVersion="3" recordCount="0" supportSubquery="1" supportAdvancedDrill="1" xr:uid="{CD350EF9-41E6-4FF5-975A-5905BBAA2E30}">
  <cacheSource type="external" connectionId="3"/>
  <cacheFields count="4">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nd Status]" caption="Patient Attand Status" attribute="1" defaultMemberUniqueName="[Hospital Emergency Room Data].[Patient Attand Status].[All]" allUniqueName="[Hospital Emergency Room Data].[Patient Atta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nd Status]" caption="Count of Patient Att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RI" refreshedDate="46075.784111111112" createdVersion="5" refreshedVersion="8" minRefreshableVersion="3" recordCount="0" supportSubquery="1" supportAdvancedDrill="1" xr:uid="{AF75F752-2F25-4378-BC9C-929102E6A33B}">
  <cacheSource type="external" connectionId="3"/>
  <cacheFields count="3">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nd Status]" caption="Patient Attand Status" attribute="1" defaultMemberUniqueName="[Hospital Emergency Room Data].[Patient Attand Status].[All]" allUniqueName="[Hospital Emergency Room Data].[Patient Atta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nd Status]" caption="Count of Patient Att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RI" refreshedDate="46075.784112731482" createdVersion="5" refreshedVersion="8" minRefreshableVersion="3" recordCount="0" supportSubquery="1" supportAdvancedDrill="1" xr:uid="{F1200BF9-729F-4D1A-A8BE-8C3E938CDAA5}">
  <cacheSource type="external" connectionId="3"/>
  <cacheFields count="4">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nd Status]" caption="Patient Attand Status" attribute="1" defaultMemberUniqueName="[Hospital Emergency Room Data].[Patient Attand Status].[All]" allUniqueName="[Hospital Emergency Room Data].[Patient Atta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nd Status]" caption="Count of Patient Att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RI" refreshedDate="46075.784114004629" createdVersion="5" refreshedVersion="8" minRefreshableVersion="3" recordCount="0" supportSubquery="1" supportAdvancedDrill="1" xr:uid="{B6EDB065-1E89-4A40-915B-9066F44DE3C5}">
  <cacheSource type="external" connectionId="3"/>
  <cacheFields count="3">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and Status]" caption="Patient Attand Status" attribute="1" defaultMemberUniqueName="[Hospital Emergency Room Data].[Patient Attand Status].[All]" allUniqueName="[Hospital Emergency Room Data].[Patient Atta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and Status]" caption="Count of Patient Att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RI" refreshedDate="46075.784115509261" createdVersion="5" refreshedVersion="8" minRefreshableVersion="3" recordCount="0" supportSubquery="1" supportAdvancedDrill="1" xr:uid="{25B27492-C3BD-4051-BA22-9C83E851AAB8}">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Attand Status].[Patient Attand Status]" caption="Patient Attand Status" numFmtId="0" hierarchy="17" level="1">
      <sharedItems count="2">
        <s v="Delay"/>
        <s v="Ontime"/>
      </sharedItems>
    </cacheField>
    <cacheField name="[Measures].[Count of Patient Attand Status]" caption="Count of Patient Attand Status" numFmtId="0" hierarchy="32"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nd Status]" caption="Patient Attand Status" attribute="1" defaultMemberUniqueName="[Hospital Emergency Room Data].[Patient Attand Status].[All]" allUniqueName="[Hospital Emergency Room Data].[Patient Atta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nd Status]" caption="Count of Patient Atta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RI" refreshedDate="46075.784116782408" createdVersion="5" refreshedVersion="8" minRefreshableVersion="3" recordCount="0" supportSubquery="1" supportAdvancedDrill="1" xr:uid="{8B90318D-CED9-4928-B433-DC0E9C45502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nd Status]" caption="Patient Attand Status" attribute="1" defaultMemberUniqueName="[Hospital Emergency Room Data].[Patient Attand Status].[All]" allUniqueName="[Hospital Emergency Room Data].[Patient Atta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nd Status]" caption="Count of Patient Att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RI" refreshedDate="46075.784118055555" createdVersion="5" refreshedVersion="8" minRefreshableVersion="3" recordCount="0" supportSubquery="1" supportAdvancedDrill="1" xr:uid="{D4061F26-64F2-438F-B2EE-FCBE8F9AA5B8}">
  <cacheSource type="external" connectionId="3"/>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4"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nd Status]" caption="Patient Attand Status" attribute="1" defaultMemberUniqueName="[Hospital Emergency Room Data].[Patient Attand Status].[All]" allUniqueName="[Hospital Emergency Room Data].[Patient Atta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nd Status]" caption="Count of Patient Att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RI" refreshedDate="46075.784119328702" createdVersion="5" refreshedVersion="8" minRefreshableVersion="3" recordCount="0" supportSubquery="1" supportAdvancedDrill="1" xr:uid="{DFE689CB-AAE7-4CE3-B827-CAA8ECC902BE}">
  <cacheSource type="external" connectionId="3"/>
  <cacheFields count="4">
    <cacheField name="[Calendar_Table].[Date (Month)].[Date (Month)]" caption="Date (Month)" numFmtId="0" hierarchy="1" level="1">
      <sharedItems count="1">
        <s v="Mar"/>
      </sharedItems>
    </cacheField>
    <cacheField name="[Calenda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and Status]" caption="Patient Attand Status" attribute="1" defaultMemberUniqueName="[Hospital Emergency Room Data].[Patient Attand Status].[All]" allUniqueName="[Hospital Emergency Room Data].[Patient Atta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nd Status]" caption="Count of Patient Att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RI" refreshedDate="46075.773531018516" createdVersion="3" refreshedVersion="8" minRefreshableVersion="3" recordCount="0" supportSubquery="1" supportAdvancedDrill="1" xr:uid="{44902FF1-308E-42D2-8B86-E4BCC4D24280}">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and Status]" caption="Patient Attand Status" attribute="1" defaultMemberUniqueName="[Hospital Emergency Room Data].[Patient Attand Status].[All]" allUniqueName="[Hospital Emergency Room Data].[Patient Atta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and Status]" caption="Count of Patient Atta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454917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A00884-3A8A-488F-936E-388A8B83C6C3}" name="PivotTable2" cacheId="2" applyNumberFormats="0" applyBorderFormats="0" applyFontFormats="0" applyPatternFormats="0" applyAlignmentFormats="0" applyWidthHeightFormats="1" dataCaption="Values" tag="2bb17c84-7bc2-4775-acf8-6f2ff6ca816c" updatedVersion="8" minRefreshableVersion="3" useAutoFormatting="1"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E741BD-8C25-46E9-999A-C5949D8C166C}" name="PivotTable9" cacheId="8" applyNumberFormats="0" applyBorderFormats="0" applyFontFormats="0" applyPatternFormats="0" applyAlignmentFormats="0" applyWidthHeightFormats="1" dataCaption="Values" tag="2bb17c84-7bc2-4775-acf8-6f2ff6ca816c" updatedVersion="8" minRefreshableVersion="3" useAutoFormatting="1" subtotalHiddenItems="1" itemPrintTitles="1" createdVersion="5" indent="0" outline="1" outlineData="1" multipleFieldFilters="0" chartFormat="6">
  <location ref="F51:G5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and Status" fld="2" subtotal="count" baseField="0" baseItem="0" numFmtId="1"/>
  </dataFields>
  <formats count="1">
    <format dxfId="1">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585778-4AD5-4B8C-B290-C49B40B2F75C}" name="PivotTable3" cacheId="3" applyNumberFormats="0" applyBorderFormats="0" applyFontFormats="0" applyPatternFormats="0" applyAlignmentFormats="0" applyWidthHeightFormats="1" dataCaption="Values" tag="2bb17c84-7bc2-4775-acf8-6f2ff6ca816c" updatedVersion="8" minRefreshableVersion="3" useAutoFormatting="1"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
      <pivotArea outline="0" collapsedLevelsAreSubtotals="1" fieldPosition="0"/>
    </format>
  </format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FD009A-A556-4DB6-855E-C41BC4E24047}" name="PivotTable8" cacheId="7" applyNumberFormats="0" applyBorderFormats="0" applyFontFormats="0" applyPatternFormats="0" applyAlignmentFormats="0" applyWidthHeightFormats="1" dataCaption="Values" tag="2bb17c84-7bc2-4775-acf8-6f2ff6ca816c" updatedVersion="8" minRefreshableVersion="3" useAutoFormatting="1" subtotalHiddenItems="1" itemPrintTitles="1" createdVersion="5" indent="0" outline="1" outlineData="1" multipleFieldFilters="0" chartFormat="4">
  <location ref="F40:G4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D85077-1679-4E9A-858B-DAE304D07156}" name="PivotTable12" cacheId="11" applyNumberFormats="0" applyBorderFormats="0" applyFontFormats="0" applyPatternFormats="0" applyAlignmentFormats="0" applyWidthHeightFormats="1" dataCaption="Values" tag="2bb17c84-7bc2-4775-acf8-6f2ff6ca816c" updatedVersion="8" minRefreshableVersion="3" useAutoFormatting="1" subtotalHiddenItems="1" itemPrintTitles="1" createdVersion="5" indent="0" outline="1" outlineData="1" multipleFieldFilters="0" chartFormat="19">
  <location ref="F72:F7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3">
    <format dxfId="6">
      <pivotArea outline="0" collapsedLevelsAreSubtotals="1" fieldPosition="0"/>
    </format>
    <format dxfId="5">
      <pivotArea dataOnly="0" labelOnly="1" grandRow="1" outline="0" fieldPosition="0"/>
    </format>
    <format dxfId="4">
      <pivotArea dataOnly="0" labelOnly="1" fieldPosition="0">
        <references count="1">
          <reference field="3" count="0"/>
        </references>
      </pivotArea>
    </format>
  </format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6D18DA-46D3-449E-B062-048B0455A11D}" name="PivotTable11" cacheId="10" applyNumberFormats="0" applyBorderFormats="0" applyFontFormats="0" applyPatternFormats="0" applyAlignmentFormats="0" applyWidthHeightFormats="1" dataCaption="Values" tag="2bb17c84-7bc2-4775-acf8-6f2ff6ca816c" updatedVersion="8" minRefreshableVersion="3" useAutoFormatting="1" subtotalHiddenItems="1" itemPrintTitles="1" createdVersion="5" indent="0" outline="1" outlineData="1" multipleFieldFilters="0" chartFormat="19">
  <location ref="F61:G7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v="1"/>
    </i>
    <i>
      <x v="6"/>
    </i>
    <i>
      <x/>
    </i>
    <i>
      <x v="5"/>
    </i>
    <i>
      <x v="2"/>
    </i>
    <i>
      <x v="4"/>
    </i>
    <i t="grand">
      <x/>
    </i>
  </rowItems>
  <colItems count="1">
    <i/>
  </colItems>
  <dataFields count="1">
    <dataField name="Count of Department Referral" fld="1" subtotal="count" baseField="0" baseItem="0"/>
  </dataFields>
  <formats count="1">
    <format dxfId="7">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ADFD71-240E-45DB-89DD-006A831BC2D7}" name="PivotTable1" cacheId="1" applyNumberFormats="0" applyBorderFormats="0" applyFontFormats="0" applyPatternFormats="0" applyAlignmentFormats="0" applyWidthHeightFormats="1" dataCaption="Values" tag="2bb17c84-7bc2-4775-acf8-6f2ff6ca816c"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ACF9F5-9E69-4CEC-BAB5-5B989B504C87}" name="PivotTable7" cacheId="6" applyNumberFormats="0" applyBorderFormats="0" applyFontFormats="0" applyPatternFormats="0" applyAlignmentFormats="0" applyWidthHeightFormats="1" dataCaption="Values" tag="2bb17c84-7bc2-4775-acf8-6f2ff6ca816c" updatedVersion="8" minRefreshableVersion="3" useAutoFormatting="1" subtotalHiddenItems="1" itemPrintTitles="1" createdVersion="5" indent="0" outline="1" outlineData="1" multipleFieldFilters="0" chartFormat="1">
  <location ref="A40:C43"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1">
      <pivotArea outline="0" collapsedLevelsAreSubtotals="1" fieldPosition="0"/>
    </format>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0"/>
          </reference>
        </references>
      </pivotArea>
    </format>
    <format dxfId="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s>
  <pivotHierarchies count="36">
    <pivotHierarchy dragToData="1"/>
    <pivotHierarchy multipleItemSelectionAllowed="1" dragToData="1">
      <members count="1" level="1">
        <member name="[Calendar_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5FDB61-9648-4E18-81FC-D1F6DD7A96D8}" name="PivotTable4" cacheId="0" applyNumberFormats="0" applyBorderFormats="0" applyFontFormats="0" applyPatternFormats="0" applyAlignmentFormats="0" applyWidthHeightFormats="1" dataCaption="Values" tag="2bb17c84-7bc2-4775-acf8-6f2ff6ca816c" updatedVersion="8" minRefreshableVersion="3" useAutoFormatting="1" subtotalHiddenItems="1" itemPrintTitles="1" createdVersion="5" indent="0" outline="1" outlineData="1" multipleFieldFilters="0" chartFormat="12">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2"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8235C5-7AAF-42C3-A68E-CED26E6479A3}" name="PivotTable6" cacheId="5" applyNumberFormats="0" applyBorderFormats="0" applyFontFormats="0" applyPatternFormats="0" applyAlignmentFormats="0" applyWidthHeightFormats="1" dataCaption="Values" tag="2bb17c84-7bc2-4775-acf8-6f2ff6ca816c" updatedVersion="8" minRefreshableVersion="3" useAutoFormatting="1" subtotalHiddenItems="1" itemPrintTitles="1" createdVersion="5" indent="0" outline="1" outlineData="1" multipleFieldFilters="0" chartFormat="28">
  <location ref="I4:J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2">
      <pivotArea outline="0" collapsedLevelsAreSubtotals="1" fieldPosition="0"/>
    </format>
  </formats>
  <chartFormats count="4">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4945BD-627E-41C8-8E69-F7A44AC7F94D}" name="PivotTable5" cacheId="4" applyNumberFormats="0" applyBorderFormats="0" applyFontFormats="0" applyPatternFormats="0" applyAlignmentFormats="0" applyWidthHeightFormats="1" dataCaption="Values" tag="2bb17c84-7bc2-4775-acf8-6f2ff6ca816c" updatedVersion="8" minRefreshableVersion="3" useAutoFormatting="1" subtotalHiddenItems="1" itemPrintTitles="1" createdVersion="5" indent="0" outline="1" outlineData="1" multipleFieldFilters="0" chartFormat="21">
  <location ref="F4:G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3">
      <pivotArea outline="0" collapsedLevelsAreSubtotals="1" fieldPosition="0"/>
    </format>
  </formats>
  <chartFormats count="4">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45F92D-492F-4D9A-9C06-38964AC9F813}" name="PivotTable10" cacheId="9" applyNumberFormats="0" applyBorderFormats="0" applyFontFormats="0" applyPatternFormats="0" applyAlignmentFormats="0" applyWidthHeightFormats="1" dataCaption="Values" tag="2bb17c84-7bc2-4775-acf8-6f2ff6ca816c" updatedVersion="8" minRefreshableVersion="3" useAutoFormatting="1" subtotalHiddenItems="1" itemPrintTitles="1" createdVersion="5" indent="0" outline="1" outlineData="1" multipleFieldFilters="0" chartFormat="16">
  <location ref="F56:G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4">
      <pivotArea outline="0" collapsedLevelsAreSubtotals="1" fieldPosition="0"/>
    </format>
  </formats>
  <chartFormats count="10">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 count="1" selected="0">
            <x v="0"/>
          </reference>
        </references>
      </pivotArea>
    </chartFormat>
    <chartFormat chart="10" format="9">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2D5AFD4-0581-4705-B104-C38012EBAB88}"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045491714">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5878751-464C-4ABC-854A-E9AD05B340FD}"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s>
  <data>
    <olap pivotCacheId="104549171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40B648F-6155-4351-8121-989655E80032}" cache="Slicer_Date__Month" caption="Date (Month)" showCaption="0" level="1" style="My Style" rowHeight="144000"/>
  <slicer name="Date (Year)" xr10:uid="{65747DD8-BA8B-4B72-B3B9-6881B92A07C8}" cache="Slicer_Date__Year" caption="Date (Year)" showCaption="0" level="1" style="My Style" rowHeight="7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3353C-3F63-4729-B795-40390E6362E7}">
  <dimension ref="A3:J74"/>
  <sheetViews>
    <sheetView topLeftCell="E69" zoomScale="130" zoomScaleNormal="130" workbookViewId="0">
      <selection activeCell="F73" sqref="F73"/>
    </sheetView>
  </sheetViews>
  <sheetFormatPr defaultRowHeight="14.4" x14ac:dyDescent="0.3"/>
  <cols>
    <col min="1" max="1" width="12.5546875" bestFit="1" customWidth="1"/>
    <col min="2" max="2" width="28.44140625" bestFit="1" customWidth="1"/>
    <col min="3" max="3" width="29.44140625" bestFit="1" customWidth="1"/>
    <col min="4" max="4" width="24" bestFit="1" customWidth="1"/>
    <col min="5" max="5" width="15.88671875" customWidth="1"/>
    <col min="6" max="6" width="12.5546875" bestFit="1" customWidth="1"/>
    <col min="7" max="7" width="26.77734375" bestFit="1" customWidth="1"/>
    <col min="8" max="8" width="10.33203125" bestFit="1" customWidth="1"/>
    <col min="9" max="9" width="12.5546875" bestFit="1" customWidth="1"/>
    <col min="10" max="10" width="32.5546875" bestFit="1" customWidth="1"/>
    <col min="11" max="68" width="10.33203125" bestFit="1" customWidth="1"/>
    <col min="69" max="69" width="10.88671875" bestFit="1" customWidth="1"/>
    <col min="70" max="582" width="10.33203125" bestFit="1" customWidth="1"/>
    <col min="583" max="583" width="10.88671875" bestFit="1" customWidth="1"/>
  </cols>
  <sheetData>
    <row r="3" spans="1:10" x14ac:dyDescent="0.3">
      <c r="A3" t="s">
        <v>1</v>
      </c>
      <c r="C3" t="s">
        <v>6</v>
      </c>
      <c r="F3" t="s">
        <v>7</v>
      </c>
    </row>
    <row r="4" spans="1:10" x14ac:dyDescent="0.3">
      <c r="A4" t="s">
        <v>0</v>
      </c>
      <c r="C4" s="2" t="s">
        <v>5</v>
      </c>
      <c r="D4" t="s">
        <v>0</v>
      </c>
      <c r="F4" s="2" t="s">
        <v>5</v>
      </c>
      <c r="G4" t="s">
        <v>2</v>
      </c>
      <c r="I4" s="2" t="s">
        <v>5</v>
      </c>
      <c r="J4" t="s">
        <v>3</v>
      </c>
    </row>
    <row r="5" spans="1:10" x14ac:dyDescent="0.3">
      <c r="A5">
        <v>494</v>
      </c>
      <c r="C5" s="3" t="s">
        <v>41</v>
      </c>
      <c r="D5">
        <v>14</v>
      </c>
      <c r="F5" s="3" t="s">
        <v>41</v>
      </c>
      <c r="G5" s="1">
        <v>35.714285714285715</v>
      </c>
      <c r="I5" s="3" t="s">
        <v>41</v>
      </c>
      <c r="J5" s="1">
        <v>5.2</v>
      </c>
    </row>
    <row r="6" spans="1:10" x14ac:dyDescent="0.3">
      <c r="C6" s="3" t="s">
        <v>42</v>
      </c>
      <c r="D6">
        <v>15</v>
      </c>
      <c r="F6" s="3" t="s">
        <v>42</v>
      </c>
      <c r="G6" s="1">
        <v>38.533333333333331</v>
      </c>
      <c r="I6" s="3" t="s">
        <v>42</v>
      </c>
      <c r="J6" s="1">
        <v>4.4444444444444446</v>
      </c>
    </row>
    <row r="7" spans="1:10" x14ac:dyDescent="0.3">
      <c r="A7" t="s">
        <v>2</v>
      </c>
      <c r="C7" s="3" t="s">
        <v>43</v>
      </c>
      <c r="D7">
        <v>17</v>
      </c>
      <c r="F7" s="3" t="s">
        <v>43</v>
      </c>
      <c r="G7" s="1">
        <v>38.941176470588232</v>
      </c>
      <c r="I7" s="3" t="s">
        <v>43</v>
      </c>
      <c r="J7" s="1">
        <v>6.2727272727272725</v>
      </c>
    </row>
    <row r="8" spans="1:10" x14ac:dyDescent="0.3">
      <c r="A8" s="1">
        <v>36.392712550607285</v>
      </c>
      <c r="C8" s="3" t="s">
        <v>44</v>
      </c>
      <c r="D8">
        <v>12</v>
      </c>
      <c r="F8" s="3" t="s">
        <v>44</v>
      </c>
      <c r="G8" s="1">
        <v>35.666666666666664</v>
      </c>
      <c r="I8" s="3" t="s">
        <v>44</v>
      </c>
      <c r="J8" s="1">
        <v>4.5999999999999996</v>
      </c>
    </row>
    <row r="9" spans="1:10" x14ac:dyDescent="0.3">
      <c r="C9" s="3" t="s">
        <v>45</v>
      </c>
      <c r="D9">
        <v>23</v>
      </c>
      <c r="F9" s="3" t="s">
        <v>45</v>
      </c>
      <c r="G9" s="1">
        <v>39.478260869565219</v>
      </c>
      <c r="I9" s="3" t="s">
        <v>45</v>
      </c>
      <c r="J9" s="1">
        <v>5.5</v>
      </c>
    </row>
    <row r="10" spans="1:10" x14ac:dyDescent="0.3">
      <c r="A10" t="s">
        <v>3</v>
      </c>
      <c r="C10" s="3" t="s">
        <v>46</v>
      </c>
      <c r="D10">
        <v>10</v>
      </c>
      <c r="F10" s="3" t="s">
        <v>46</v>
      </c>
      <c r="G10" s="1">
        <v>25.1</v>
      </c>
      <c r="I10" s="3" t="s">
        <v>46</v>
      </c>
      <c r="J10" s="1">
        <v>5.4285714285714288</v>
      </c>
    </row>
    <row r="11" spans="1:10" x14ac:dyDescent="0.3">
      <c r="A11" s="1">
        <v>5.0629921259842519</v>
      </c>
      <c r="C11" s="3" t="s">
        <v>47</v>
      </c>
      <c r="D11">
        <v>18</v>
      </c>
      <c r="F11" s="3" t="s">
        <v>47</v>
      </c>
      <c r="G11" s="1">
        <v>43.666666666666664</v>
      </c>
      <c r="I11" s="3" t="s">
        <v>47</v>
      </c>
      <c r="J11" s="1">
        <v>9.5</v>
      </c>
    </row>
    <row r="12" spans="1:10" x14ac:dyDescent="0.3">
      <c r="C12" s="3" t="s">
        <v>48</v>
      </c>
      <c r="D12">
        <v>11</v>
      </c>
      <c r="F12" s="3" t="s">
        <v>48</v>
      </c>
      <c r="G12" s="1">
        <v>38.090909090909093</v>
      </c>
      <c r="I12" s="3" t="s">
        <v>48</v>
      </c>
      <c r="J12" s="1">
        <v>2.1666666666666665</v>
      </c>
    </row>
    <row r="13" spans="1:10" x14ac:dyDescent="0.3">
      <c r="C13" s="3" t="s">
        <v>49</v>
      </c>
      <c r="D13">
        <v>12</v>
      </c>
      <c r="F13" s="3" t="s">
        <v>49</v>
      </c>
      <c r="G13" s="1">
        <v>28.25</v>
      </c>
      <c r="I13" s="3" t="s">
        <v>49</v>
      </c>
      <c r="J13" s="1">
        <v>5.333333333333333</v>
      </c>
    </row>
    <row r="14" spans="1:10" x14ac:dyDescent="0.3">
      <c r="C14" s="3" t="s">
        <v>50</v>
      </c>
      <c r="D14">
        <v>24</v>
      </c>
      <c r="F14" s="3" t="s">
        <v>50</v>
      </c>
      <c r="G14" s="1">
        <v>36.291666666666664</v>
      </c>
      <c r="I14" s="3" t="s">
        <v>50</v>
      </c>
      <c r="J14" s="1">
        <v>4.1428571428571432</v>
      </c>
    </row>
    <row r="15" spans="1:10" x14ac:dyDescent="0.3">
      <c r="C15" s="3" t="s">
        <v>51</v>
      </c>
      <c r="D15">
        <v>16</v>
      </c>
      <c r="F15" s="3" t="s">
        <v>51</v>
      </c>
      <c r="G15" s="1">
        <v>31.875</v>
      </c>
      <c r="I15" s="3" t="s">
        <v>51</v>
      </c>
      <c r="J15" s="1">
        <v>2.75</v>
      </c>
    </row>
    <row r="16" spans="1:10" x14ac:dyDescent="0.3">
      <c r="C16" s="3" t="s">
        <v>52</v>
      </c>
      <c r="D16">
        <v>21</v>
      </c>
      <c r="F16" s="3" t="s">
        <v>52</v>
      </c>
      <c r="G16" s="1">
        <v>32.333333333333336</v>
      </c>
      <c r="I16" s="3" t="s">
        <v>52</v>
      </c>
      <c r="J16" s="1">
        <v>4.4000000000000004</v>
      </c>
    </row>
    <row r="17" spans="3:10" x14ac:dyDescent="0.3">
      <c r="C17" s="3" t="s">
        <v>53</v>
      </c>
      <c r="D17">
        <v>16</v>
      </c>
      <c r="F17" s="3" t="s">
        <v>53</v>
      </c>
      <c r="G17" s="1">
        <v>36.3125</v>
      </c>
      <c r="I17" s="3" t="s">
        <v>53</v>
      </c>
      <c r="J17" s="1">
        <v>5.5</v>
      </c>
    </row>
    <row r="18" spans="3:10" x14ac:dyDescent="0.3">
      <c r="C18" s="3" t="s">
        <v>54</v>
      </c>
      <c r="D18">
        <v>15</v>
      </c>
      <c r="F18" s="3" t="s">
        <v>54</v>
      </c>
      <c r="G18" s="1">
        <v>41.133333333333333</v>
      </c>
      <c r="I18" s="3" t="s">
        <v>54</v>
      </c>
      <c r="J18" s="1">
        <v>6.4</v>
      </c>
    </row>
    <row r="19" spans="3:10" x14ac:dyDescent="0.3">
      <c r="C19" s="3" t="s">
        <v>55</v>
      </c>
      <c r="D19">
        <v>14</v>
      </c>
      <c r="F19" s="3" t="s">
        <v>55</v>
      </c>
      <c r="G19" s="1">
        <v>32.071428571428569</v>
      </c>
      <c r="I19" s="3" t="s">
        <v>55</v>
      </c>
      <c r="J19" s="1">
        <v>5.25</v>
      </c>
    </row>
    <row r="20" spans="3:10" x14ac:dyDescent="0.3">
      <c r="C20" s="3" t="s">
        <v>56</v>
      </c>
      <c r="D20">
        <v>18</v>
      </c>
      <c r="F20" s="3" t="s">
        <v>56</v>
      </c>
      <c r="G20" s="1">
        <v>34.222222222222221</v>
      </c>
      <c r="I20" s="3" t="s">
        <v>56</v>
      </c>
      <c r="J20" s="1">
        <v>6</v>
      </c>
    </row>
    <row r="21" spans="3:10" x14ac:dyDescent="0.3">
      <c r="C21" s="3" t="s">
        <v>57</v>
      </c>
      <c r="D21">
        <v>12</v>
      </c>
      <c r="F21" s="3" t="s">
        <v>57</v>
      </c>
      <c r="G21" s="1">
        <v>43.666666666666664</v>
      </c>
      <c r="I21" s="3" t="s">
        <v>57</v>
      </c>
      <c r="J21" s="1">
        <v>5.1428571428571432</v>
      </c>
    </row>
    <row r="22" spans="3:10" x14ac:dyDescent="0.3">
      <c r="C22" s="3" t="s">
        <v>58</v>
      </c>
      <c r="D22">
        <v>18</v>
      </c>
      <c r="F22" s="3" t="s">
        <v>58</v>
      </c>
      <c r="G22" s="1">
        <v>38.5</v>
      </c>
      <c r="I22" s="3" t="s">
        <v>58</v>
      </c>
      <c r="J22" s="1">
        <v>5.25</v>
      </c>
    </row>
    <row r="23" spans="3:10" x14ac:dyDescent="0.3">
      <c r="C23" s="3" t="s">
        <v>59</v>
      </c>
      <c r="D23">
        <v>16</v>
      </c>
      <c r="F23" s="3" t="s">
        <v>59</v>
      </c>
      <c r="G23" s="1">
        <v>32.6875</v>
      </c>
      <c r="I23" s="3" t="s">
        <v>59</v>
      </c>
      <c r="J23" s="1">
        <v>6</v>
      </c>
    </row>
    <row r="24" spans="3:10" x14ac:dyDescent="0.3">
      <c r="C24" s="3" t="s">
        <v>60</v>
      </c>
      <c r="D24">
        <v>22</v>
      </c>
      <c r="F24" s="3" t="s">
        <v>60</v>
      </c>
      <c r="G24" s="1">
        <v>41.045454545454547</v>
      </c>
      <c r="I24" s="3" t="s">
        <v>60</v>
      </c>
      <c r="J24" s="1">
        <v>5.4375</v>
      </c>
    </row>
    <row r="25" spans="3:10" x14ac:dyDescent="0.3">
      <c r="C25" s="3" t="s">
        <v>61</v>
      </c>
      <c r="D25">
        <v>16</v>
      </c>
      <c r="F25" s="3" t="s">
        <v>61</v>
      </c>
      <c r="G25" s="1">
        <v>36.6875</v>
      </c>
      <c r="I25" s="3" t="s">
        <v>61</v>
      </c>
      <c r="J25" s="1">
        <v>4.5</v>
      </c>
    </row>
    <row r="26" spans="3:10" x14ac:dyDescent="0.3">
      <c r="C26" s="3" t="s">
        <v>62</v>
      </c>
      <c r="D26">
        <v>10</v>
      </c>
      <c r="F26" s="3" t="s">
        <v>62</v>
      </c>
      <c r="G26" s="1">
        <v>38.5</v>
      </c>
      <c r="I26" s="3" t="s">
        <v>62</v>
      </c>
      <c r="J26" s="1">
        <v>4.7142857142857144</v>
      </c>
    </row>
    <row r="27" spans="3:10" x14ac:dyDescent="0.3">
      <c r="C27" s="3" t="s">
        <v>63</v>
      </c>
      <c r="D27">
        <v>18</v>
      </c>
      <c r="F27" s="3" t="s">
        <v>63</v>
      </c>
      <c r="G27" s="1">
        <v>33.777777777777779</v>
      </c>
      <c r="I27" s="3" t="s">
        <v>63</v>
      </c>
      <c r="J27" s="1">
        <v>7.375</v>
      </c>
    </row>
    <row r="28" spans="3:10" x14ac:dyDescent="0.3">
      <c r="C28" s="3" t="s">
        <v>64</v>
      </c>
      <c r="D28">
        <v>13</v>
      </c>
      <c r="F28" s="3" t="s">
        <v>64</v>
      </c>
      <c r="G28" s="1">
        <v>41.692307692307693</v>
      </c>
      <c r="I28" s="3" t="s">
        <v>64</v>
      </c>
      <c r="J28" s="1">
        <v>4.1428571428571432</v>
      </c>
    </row>
    <row r="29" spans="3:10" x14ac:dyDescent="0.3">
      <c r="C29" s="3" t="s">
        <v>65</v>
      </c>
      <c r="D29">
        <v>20</v>
      </c>
      <c r="F29" s="3" t="s">
        <v>65</v>
      </c>
      <c r="G29" s="1">
        <v>31.7</v>
      </c>
      <c r="I29" s="3" t="s">
        <v>65</v>
      </c>
      <c r="J29" s="1">
        <v>5.2222222222222223</v>
      </c>
    </row>
    <row r="30" spans="3:10" x14ac:dyDescent="0.3">
      <c r="C30" s="3" t="s">
        <v>66</v>
      </c>
      <c r="D30">
        <v>17</v>
      </c>
      <c r="F30" s="3" t="s">
        <v>66</v>
      </c>
      <c r="G30" s="1">
        <v>36.470588235294116</v>
      </c>
      <c r="I30" s="3" t="s">
        <v>66</v>
      </c>
      <c r="J30" s="1">
        <v>3.375</v>
      </c>
    </row>
    <row r="31" spans="3:10" x14ac:dyDescent="0.3">
      <c r="C31" s="3" t="s">
        <v>67</v>
      </c>
      <c r="D31">
        <v>19</v>
      </c>
      <c r="F31" s="3" t="s">
        <v>67</v>
      </c>
      <c r="G31" s="1">
        <v>37.210526315789473</v>
      </c>
      <c r="I31" s="3" t="s">
        <v>67</v>
      </c>
      <c r="J31" s="1">
        <v>6</v>
      </c>
    </row>
    <row r="32" spans="3:10" x14ac:dyDescent="0.3">
      <c r="C32" s="3" t="s">
        <v>68</v>
      </c>
      <c r="D32">
        <v>17</v>
      </c>
      <c r="F32" s="3" t="s">
        <v>68</v>
      </c>
      <c r="G32" s="1">
        <v>36.294117647058826</v>
      </c>
      <c r="I32" s="3" t="s">
        <v>68</v>
      </c>
      <c r="J32" s="1">
        <v>5.6</v>
      </c>
    </row>
    <row r="33" spans="1:10" x14ac:dyDescent="0.3">
      <c r="C33" s="3" t="s">
        <v>69</v>
      </c>
      <c r="D33">
        <v>22</v>
      </c>
      <c r="F33" s="3" t="s">
        <v>69</v>
      </c>
      <c r="G33" s="1">
        <v>32</v>
      </c>
      <c r="I33" s="3" t="s">
        <v>69</v>
      </c>
      <c r="J33" s="1">
        <v>3.75</v>
      </c>
    </row>
    <row r="34" spans="1:10" x14ac:dyDescent="0.3">
      <c r="C34" s="3" t="s">
        <v>70</v>
      </c>
      <c r="D34">
        <v>9</v>
      </c>
      <c r="F34" s="3" t="s">
        <v>70</v>
      </c>
      <c r="G34" s="1">
        <v>41.444444444444443</v>
      </c>
      <c r="I34" s="3" t="s">
        <v>70</v>
      </c>
      <c r="J34" s="1">
        <v>4.8571428571428568</v>
      </c>
    </row>
    <row r="35" spans="1:10" x14ac:dyDescent="0.3">
      <c r="C35" s="3" t="s">
        <v>71</v>
      </c>
      <c r="D35">
        <v>9</v>
      </c>
      <c r="F35" s="3" t="s">
        <v>71</v>
      </c>
      <c r="G35" s="1">
        <v>40.444444444444443</v>
      </c>
      <c r="I35" s="3" t="s">
        <v>71</v>
      </c>
      <c r="J35" s="1">
        <v>5.5</v>
      </c>
    </row>
    <row r="36" spans="1:10" x14ac:dyDescent="0.3">
      <c r="C36" s="3" t="s">
        <v>4</v>
      </c>
      <c r="D36">
        <v>494</v>
      </c>
      <c r="F36" s="3" t="s">
        <v>4</v>
      </c>
      <c r="G36" s="1">
        <v>36.392712550607285</v>
      </c>
      <c r="I36" s="3" t="s">
        <v>4</v>
      </c>
      <c r="J36" s="1">
        <v>5.1166666666666663</v>
      </c>
    </row>
    <row r="40" spans="1:10" x14ac:dyDescent="0.3">
      <c r="A40" s="2" t="s">
        <v>5</v>
      </c>
      <c r="B40" t="s">
        <v>8</v>
      </c>
      <c r="C40" t="s">
        <v>11</v>
      </c>
      <c r="F40" s="2" t="s">
        <v>5</v>
      </c>
      <c r="G40" t="s">
        <v>22</v>
      </c>
    </row>
    <row r="41" spans="1:10" x14ac:dyDescent="0.3">
      <c r="A41" s="3" t="s">
        <v>9</v>
      </c>
      <c r="B41" s="5">
        <v>476</v>
      </c>
      <c r="C41" s="6">
        <v>0.46484375</v>
      </c>
      <c r="F41" s="3" t="s">
        <v>14</v>
      </c>
      <c r="G41" s="5">
        <v>133</v>
      </c>
    </row>
    <row r="42" spans="1:10" x14ac:dyDescent="0.3">
      <c r="A42" s="3" t="s">
        <v>10</v>
      </c>
      <c r="B42" s="5">
        <v>548</v>
      </c>
      <c r="C42" s="6">
        <v>0.53515625</v>
      </c>
      <c r="F42" s="3" t="s">
        <v>15</v>
      </c>
      <c r="G42" s="5">
        <v>136</v>
      </c>
    </row>
    <row r="43" spans="1:10" x14ac:dyDescent="0.3">
      <c r="A43" s="3" t="s">
        <v>4</v>
      </c>
      <c r="B43" s="5">
        <v>1024</v>
      </c>
      <c r="C43" s="6">
        <v>1</v>
      </c>
      <c r="F43" s="3" t="s">
        <v>16</v>
      </c>
      <c r="G43" s="5">
        <v>123</v>
      </c>
    </row>
    <row r="44" spans="1:10" x14ac:dyDescent="0.3">
      <c r="F44" s="3" t="s">
        <v>17</v>
      </c>
      <c r="G44" s="5">
        <v>133</v>
      </c>
    </row>
    <row r="45" spans="1:10" x14ac:dyDescent="0.3">
      <c r="F45" s="3" t="s">
        <v>18</v>
      </c>
      <c r="G45" s="5">
        <v>120</v>
      </c>
    </row>
    <row r="46" spans="1:10" x14ac:dyDescent="0.3">
      <c r="A46" s="7" t="s">
        <v>12</v>
      </c>
      <c r="B46" s="7" t="s">
        <v>1</v>
      </c>
      <c r="C46" s="7" t="s">
        <v>13</v>
      </c>
      <c r="D46" s="7"/>
      <c r="F46" s="3" t="s">
        <v>19</v>
      </c>
      <c r="G46" s="5">
        <v>123</v>
      </c>
    </row>
    <row r="47" spans="1:10" x14ac:dyDescent="0.3">
      <c r="A47" s="8" t="str">
        <f>A42</f>
        <v>Not Admitted</v>
      </c>
      <c r="B47" s="8">
        <f>B42</f>
        <v>548</v>
      </c>
      <c r="C47" s="9">
        <f>C42</f>
        <v>0.53515625</v>
      </c>
      <c r="D47" s="8"/>
      <c r="F47" s="3" t="s">
        <v>20</v>
      </c>
      <c r="G47" s="5">
        <v>140</v>
      </c>
    </row>
    <row r="48" spans="1:10" x14ac:dyDescent="0.3">
      <c r="A48" s="8" t="str">
        <f>A41</f>
        <v>Admitted</v>
      </c>
      <c r="B48" s="8">
        <f>B41</f>
        <v>476</v>
      </c>
      <c r="C48" s="9">
        <f>C41</f>
        <v>0.46484375</v>
      </c>
      <c r="D48" s="8"/>
      <c r="F48" s="3" t="s">
        <v>21</v>
      </c>
      <c r="G48" s="5">
        <v>116</v>
      </c>
    </row>
    <row r="49" spans="6:7" x14ac:dyDescent="0.3">
      <c r="F49" s="3" t="s">
        <v>4</v>
      </c>
      <c r="G49" s="5">
        <v>1024</v>
      </c>
    </row>
    <row r="50" spans="6:7" x14ac:dyDescent="0.3">
      <c r="F50" s="3" t="s">
        <v>26</v>
      </c>
    </row>
    <row r="51" spans="6:7" x14ac:dyDescent="0.3">
      <c r="F51" s="2" t="s">
        <v>5</v>
      </c>
      <c r="G51" t="s">
        <v>25</v>
      </c>
    </row>
    <row r="52" spans="6:7" x14ac:dyDescent="0.3">
      <c r="F52" s="3" t="s">
        <v>24</v>
      </c>
      <c r="G52" s="5">
        <v>630</v>
      </c>
    </row>
    <row r="53" spans="6:7" x14ac:dyDescent="0.3">
      <c r="F53" s="3" t="s">
        <v>23</v>
      </c>
      <c r="G53" s="5">
        <v>394</v>
      </c>
    </row>
    <row r="54" spans="6:7" x14ac:dyDescent="0.3">
      <c r="F54" s="3" t="s">
        <v>4</v>
      </c>
      <c r="G54" s="5">
        <v>1024</v>
      </c>
    </row>
    <row r="55" spans="6:7" x14ac:dyDescent="0.3">
      <c r="F55" s="3" t="s">
        <v>30</v>
      </c>
    </row>
    <row r="56" spans="6:7" x14ac:dyDescent="0.3">
      <c r="F56" s="2" t="s">
        <v>5</v>
      </c>
      <c r="G56" t="s">
        <v>29</v>
      </c>
    </row>
    <row r="57" spans="6:7" x14ac:dyDescent="0.3">
      <c r="F57" s="3" t="s">
        <v>27</v>
      </c>
      <c r="G57" s="5">
        <v>241</v>
      </c>
    </row>
    <row r="58" spans="6:7" x14ac:dyDescent="0.3">
      <c r="F58" s="3" t="s">
        <v>28</v>
      </c>
      <c r="G58" s="5">
        <v>253</v>
      </c>
    </row>
    <row r="59" spans="6:7" x14ac:dyDescent="0.3">
      <c r="F59" s="3" t="s">
        <v>4</v>
      </c>
      <c r="G59" s="5">
        <v>494</v>
      </c>
    </row>
    <row r="61" spans="6:7" x14ac:dyDescent="0.3">
      <c r="F61" s="2" t="s">
        <v>5</v>
      </c>
      <c r="G61" t="s">
        <v>31</v>
      </c>
    </row>
    <row r="62" spans="6:7" x14ac:dyDescent="0.3">
      <c r="F62" s="3" t="s">
        <v>39</v>
      </c>
      <c r="G62" s="5">
        <v>6</v>
      </c>
    </row>
    <row r="63" spans="6:7" x14ac:dyDescent="0.3">
      <c r="F63" s="3" t="s">
        <v>35</v>
      </c>
      <c r="G63" s="5">
        <v>8</v>
      </c>
    </row>
    <row r="64" spans="6:7" x14ac:dyDescent="0.3">
      <c r="F64" s="3" t="s">
        <v>33</v>
      </c>
      <c r="G64" s="5">
        <v>8</v>
      </c>
    </row>
    <row r="65" spans="6:7" x14ac:dyDescent="0.3">
      <c r="F65" s="3" t="s">
        <v>38</v>
      </c>
      <c r="G65" s="5">
        <v>11</v>
      </c>
    </row>
    <row r="66" spans="6:7" x14ac:dyDescent="0.3">
      <c r="F66" s="3" t="s">
        <v>32</v>
      </c>
      <c r="G66" s="5">
        <v>17</v>
      </c>
    </row>
    <row r="67" spans="6:7" x14ac:dyDescent="0.3">
      <c r="F67" s="3" t="s">
        <v>37</v>
      </c>
      <c r="G67" s="5">
        <v>49</v>
      </c>
    </row>
    <row r="68" spans="6:7" x14ac:dyDescent="0.3">
      <c r="F68" s="3" t="s">
        <v>34</v>
      </c>
      <c r="G68" s="5">
        <v>92</v>
      </c>
    </row>
    <row r="69" spans="6:7" x14ac:dyDescent="0.3">
      <c r="F69" s="3" t="s">
        <v>36</v>
      </c>
      <c r="G69" s="5">
        <v>303</v>
      </c>
    </row>
    <row r="70" spans="6:7" x14ac:dyDescent="0.3">
      <c r="F70" s="3" t="s">
        <v>4</v>
      </c>
      <c r="G70" s="5">
        <v>494</v>
      </c>
    </row>
    <row r="72" spans="6:7" x14ac:dyDescent="0.3">
      <c r="F72" s="2" t="s">
        <v>5</v>
      </c>
    </row>
    <row r="73" spans="6:7" x14ac:dyDescent="0.3">
      <c r="F73" s="12" t="s">
        <v>40</v>
      </c>
    </row>
    <row r="74" spans="6:7" x14ac:dyDescent="0.3">
      <c r="F74" s="3"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B8FB-4F9A-487B-9AF8-0671362D98DB}">
  <dimension ref="A1:K15"/>
  <sheetViews>
    <sheetView tabSelected="1" zoomScale="155" zoomScaleNormal="155" workbookViewId="0">
      <selection activeCell="L9" sqref="L9"/>
    </sheetView>
  </sheetViews>
  <sheetFormatPr defaultRowHeight="14.4" x14ac:dyDescent="0.3"/>
  <cols>
    <col min="1" max="1" width="8.77734375" customWidth="1"/>
    <col min="7" max="7" width="9.5546875" customWidth="1"/>
    <col min="10" max="11" width="10.6640625" customWidth="1"/>
    <col min="12" max="12" width="8.88671875" customWidth="1"/>
  </cols>
  <sheetData>
    <row r="1" spans="1:11" x14ac:dyDescent="0.3">
      <c r="A1" s="10"/>
      <c r="B1" s="10"/>
      <c r="C1" s="10"/>
      <c r="D1" s="10"/>
      <c r="E1" s="10"/>
      <c r="F1" s="10"/>
      <c r="G1" s="10"/>
      <c r="H1" s="10"/>
      <c r="I1" s="10"/>
      <c r="J1" s="10"/>
      <c r="K1" s="11"/>
    </row>
    <row r="2" spans="1:11" ht="15" customHeight="1" x14ac:dyDescent="0.3">
      <c r="A2" s="10"/>
      <c r="B2" s="10"/>
      <c r="C2" s="10"/>
      <c r="D2" s="10"/>
      <c r="E2" s="10"/>
      <c r="F2" s="10"/>
      <c r="G2" s="10"/>
      <c r="H2" s="10"/>
      <c r="I2" s="10"/>
      <c r="J2" s="10"/>
      <c r="K2" s="10"/>
    </row>
    <row r="3" spans="1:11" x14ac:dyDescent="0.3">
      <c r="A3" s="10"/>
      <c r="B3" s="10"/>
      <c r="C3" s="10"/>
      <c r="D3" s="10"/>
      <c r="E3" s="10"/>
      <c r="F3" s="10"/>
      <c r="G3" s="10"/>
      <c r="H3" s="10"/>
      <c r="I3" s="10"/>
      <c r="J3" s="10"/>
      <c r="K3" s="10"/>
    </row>
    <row r="4" spans="1:11" x14ac:dyDescent="0.3">
      <c r="A4" s="10"/>
      <c r="B4" s="10"/>
      <c r="C4" s="10"/>
      <c r="D4" s="10"/>
      <c r="E4" s="10"/>
      <c r="F4" s="10"/>
      <c r="G4" s="10"/>
      <c r="H4" s="10"/>
      <c r="I4" s="10"/>
      <c r="J4" s="10"/>
      <c r="K4" s="10"/>
    </row>
    <row r="5" spans="1:11" x14ac:dyDescent="0.3">
      <c r="A5" s="10"/>
      <c r="B5" s="10"/>
      <c r="C5" s="10"/>
      <c r="D5" s="10"/>
      <c r="E5" s="10"/>
      <c r="F5" s="10"/>
      <c r="G5" s="10"/>
      <c r="H5" s="10"/>
      <c r="I5" s="10"/>
      <c r="J5" s="10"/>
      <c r="K5" s="10"/>
    </row>
    <row r="6" spans="1:11" x14ac:dyDescent="0.3">
      <c r="A6" s="10"/>
      <c r="B6" s="10"/>
      <c r="C6" s="10"/>
      <c r="D6" s="10"/>
      <c r="E6" s="10"/>
      <c r="F6" s="10"/>
      <c r="G6" s="10"/>
      <c r="H6" s="10"/>
      <c r="I6" s="10"/>
      <c r="J6" s="10"/>
      <c r="K6" s="10"/>
    </row>
    <row r="7" spans="1:11" x14ac:dyDescent="0.3">
      <c r="A7" s="10"/>
      <c r="B7" s="10"/>
      <c r="C7" s="10"/>
      <c r="D7" s="10"/>
      <c r="E7" s="10"/>
      <c r="F7" s="10"/>
      <c r="G7" s="10"/>
      <c r="H7" s="10"/>
      <c r="I7" s="10"/>
      <c r="J7" s="10"/>
      <c r="K7" s="10"/>
    </row>
    <row r="8" spans="1:11" x14ac:dyDescent="0.3">
      <c r="A8" s="10"/>
      <c r="B8" s="10"/>
      <c r="C8" s="10"/>
      <c r="D8" s="10"/>
      <c r="E8" s="10"/>
      <c r="F8" s="10"/>
      <c r="G8" s="10"/>
      <c r="H8" s="10"/>
      <c r="I8" s="10"/>
      <c r="J8" s="10"/>
      <c r="K8" s="10"/>
    </row>
    <row r="9" spans="1:11" x14ac:dyDescent="0.3">
      <c r="A9" s="10"/>
      <c r="B9" s="10"/>
      <c r="C9" s="10"/>
      <c r="D9" s="10"/>
      <c r="E9" s="10"/>
      <c r="F9" s="10"/>
      <c r="G9" s="10"/>
      <c r="H9" s="10"/>
      <c r="I9" s="10"/>
      <c r="J9" s="10"/>
      <c r="K9" s="10"/>
    </row>
    <row r="10" spans="1:11" x14ac:dyDescent="0.3">
      <c r="A10" s="10"/>
      <c r="B10" s="10"/>
      <c r="C10" s="10"/>
      <c r="D10" s="10"/>
      <c r="E10" s="10"/>
      <c r="F10" s="10"/>
      <c r="G10" s="10"/>
      <c r="H10" s="10"/>
      <c r="I10" s="10"/>
      <c r="J10" s="10"/>
      <c r="K10" s="10"/>
    </row>
    <row r="11" spans="1:11" x14ac:dyDescent="0.3">
      <c r="A11" s="10"/>
      <c r="B11" s="10"/>
      <c r="C11" s="10"/>
      <c r="D11" s="10"/>
      <c r="E11" s="10"/>
      <c r="F11" s="10"/>
      <c r="G11" s="10"/>
      <c r="H11" s="10"/>
      <c r="I11" s="10"/>
      <c r="J11" s="10"/>
      <c r="K11" s="10"/>
    </row>
    <row r="12" spans="1:11" x14ac:dyDescent="0.3">
      <c r="A12" s="10"/>
      <c r="B12" s="10"/>
      <c r="C12" s="10"/>
      <c r="D12" s="10"/>
      <c r="E12" s="10"/>
      <c r="F12" s="10"/>
      <c r="G12" s="10"/>
      <c r="H12" s="10"/>
      <c r="I12" s="10"/>
      <c r="J12" s="10"/>
      <c r="K12" s="10"/>
    </row>
    <row r="13" spans="1:11" x14ac:dyDescent="0.3">
      <c r="A13" s="10"/>
      <c r="B13" s="10"/>
      <c r="C13" s="10"/>
      <c r="D13" s="10"/>
      <c r="E13" s="10"/>
      <c r="F13" s="10"/>
      <c r="G13" s="10"/>
      <c r="H13" s="10"/>
      <c r="I13" s="10"/>
      <c r="J13" s="10"/>
      <c r="K13" s="10"/>
    </row>
    <row r="14" spans="1:11" x14ac:dyDescent="0.3">
      <c r="A14" s="10"/>
      <c r="B14" s="10"/>
      <c r="C14" s="10"/>
      <c r="D14" s="10"/>
      <c r="E14" s="10"/>
      <c r="F14" s="10"/>
      <c r="G14" s="10"/>
      <c r="H14" s="10"/>
      <c r="I14" s="10"/>
      <c r="J14" s="10"/>
      <c r="K14" s="10"/>
    </row>
    <row r="15" spans="1:11" ht="25.8" customHeight="1" x14ac:dyDescent="0.3">
      <c r="A15" s="10"/>
      <c r="B15" s="10"/>
      <c r="C15" s="10"/>
      <c r="D15" s="10"/>
      <c r="E15" s="10"/>
      <c r="F15" s="10"/>
      <c r="G15" s="10"/>
      <c r="H15" s="10"/>
      <c r="I15" s="10"/>
      <c r="J15" s="10"/>
      <c r="K15" s="10"/>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09610-A31D-4F04-BCFD-90740DB8384E}">
  <dimension ref="A1:W18"/>
  <sheetViews>
    <sheetView zoomScale="117" zoomScaleNormal="117" workbookViewId="0"/>
  </sheetViews>
  <sheetFormatPr defaultRowHeight="14.4" x14ac:dyDescent="0.3"/>
  <sheetData>
    <row r="1" spans="1:23" x14ac:dyDescent="0.3">
      <c r="A1" s="4"/>
      <c r="B1" s="4"/>
      <c r="C1" s="4"/>
      <c r="D1" s="4"/>
      <c r="E1" s="4"/>
      <c r="F1" s="4"/>
      <c r="G1" s="4"/>
      <c r="H1" s="4"/>
      <c r="I1" s="4"/>
      <c r="J1" s="4"/>
      <c r="K1" s="4"/>
      <c r="L1" s="4"/>
      <c r="M1" s="4"/>
      <c r="N1" s="4"/>
      <c r="O1" s="4"/>
      <c r="P1" s="4"/>
      <c r="Q1" s="4"/>
      <c r="R1" s="4"/>
      <c r="S1" s="4"/>
      <c r="T1" s="4"/>
      <c r="U1" s="4"/>
      <c r="V1" s="4"/>
      <c r="W1" s="4"/>
    </row>
    <row r="2" spans="1:23" x14ac:dyDescent="0.3">
      <c r="A2" s="4"/>
      <c r="B2" s="4"/>
      <c r="C2" s="4"/>
      <c r="D2" s="4"/>
      <c r="E2" s="4"/>
      <c r="F2" s="4"/>
      <c r="G2" s="4"/>
      <c r="H2" s="4"/>
      <c r="I2" s="4"/>
      <c r="J2" s="4"/>
      <c r="K2" s="4"/>
      <c r="L2" s="4"/>
      <c r="M2" s="4"/>
      <c r="N2" s="4"/>
      <c r="O2" s="4"/>
      <c r="P2" s="4"/>
      <c r="Q2" s="4"/>
      <c r="R2" s="4"/>
      <c r="S2" s="4"/>
      <c r="T2" s="4"/>
      <c r="U2" s="4"/>
      <c r="V2" s="4"/>
      <c r="W2" s="4"/>
    </row>
    <row r="3" spans="1:23" x14ac:dyDescent="0.3">
      <c r="A3" s="4"/>
      <c r="B3" s="4"/>
      <c r="C3" s="4"/>
      <c r="D3" s="4"/>
      <c r="E3" s="4"/>
      <c r="F3" s="4"/>
      <c r="G3" s="4"/>
      <c r="H3" s="4"/>
      <c r="I3" s="4"/>
      <c r="J3" s="4"/>
      <c r="K3" s="4"/>
      <c r="L3" s="4"/>
      <c r="M3" s="4"/>
      <c r="N3" s="4"/>
      <c r="O3" s="4"/>
      <c r="P3" s="4"/>
      <c r="Q3" s="4"/>
      <c r="R3" s="4"/>
      <c r="S3" s="4"/>
      <c r="T3" s="4"/>
      <c r="U3" s="4"/>
      <c r="V3" s="4"/>
      <c r="W3" s="4"/>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E78CA-0C3F-42C4-B214-B368F7BD77EA}">
  <dimension ref="A1"/>
  <sheetViews>
    <sheetView zoomScale="99" zoomScaleNormal="99"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F9B1-7821-495E-BDAD-F94D4DCC22B4}">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08F986C-0650-4A45-A2CE-8937860C69A7}">
  <ds:schemaRefs/>
</ds:datastoreItem>
</file>

<file path=customXml/itemProps2.xml><?xml version="1.0" encoding="utf-8"?>
<ds:datastoreItem xmlns:ds="http://schemas.openxmlformats.org/officeDocument/2006/customXml" ds:itemID="{222FFED0-6843-4138-A5CE-2AF5D3BB7E5A}">
  <ds:schemaRefs/>
</ds:datastoreItem>
</file>

<file path=customXml/itemProps3.xml><?xml version="1.0" encoding="utf-8"?>
<ds:datastoreItem xmlns:ds="http://schemas.openxmlformats.org/officeDocument/2006/customXml" ds:itemID="{532347C2-70A4-4513-BCE9-022C0BDF1FC8}">
  <ds:schemaRefs>
    <ds:schemaRef ds:uri="http://schemas.microsoft.com/DataMashup"/>
  </ds:schemaRefs>
</ds:datastoreItem>
</file>

<file path=customXml/itemProps4.xml><?xml version="1.0" encoding="utf-8"?>
<ds:datastoreItem xmlns:ds="http://schemas.openxmlformats.org/officeDocument/2006/customXml" ds:itemID="{BF2B45AD-A225-459D-839C-75164C88407C}">
  <ds:schemaRefs/>
</ds:datastoreItem>
</file>

<file path=customXml/itemProps5.xml><?xml version="1.0" encoding="utf-8"?>
<ds:datastoreItem xmlns:ds="http://schemas.openxmlformats.org/officeDocument/2006/customXml" ds:itemID="{CED57527-64A7-451B-B2CE-D67771F747CB}">
  <ds:schemaRefs/>
</ds:datastoreItem>
</file>

<file path=customXml/itemProps6.xml><?xml version="1.0" encoding="utf-8"?>
<ds:datastoreItem xmlns:ds="http://schemas.openxmlformats.org/officeDocument/2006/customXml" ds:itemID="{57DDA864-9292-43BC-9AE0-B46CCDA43868}">
  <ds:schemaRefs/>
</ds:datastoreItem>
</file>

<file path=customXml/itemProps7.xml><?xml version="1.0" encoding="utf-8"?>
<ds:datastoreItem xmlns:ds="http://schemas.openxmlformats.org/officeDocument/2006/customXml" ds:itemID="{8DDBD26C-04A0-49CF-BDD0-FC71297C0CBC}">
  <ds:schemaRefs/>
</ds:datastoreItem>
</file>

<file path=customXml/itemProps8.xml><?xml version="1.0" encoding="utf-8"?>
<ds:datastoreItem xmlns:ds="http://schemas.openxmlformats.org/officeDocument/2006/customXml" ds:itemID="{C1660823-FA4A-4843-A4FA-6FCA26411B37}">
  <ds:schemaRefs/>
</ds:datastoreItem>
</file>

<file path=customXml/itemProps9.xml><?xml version="1.0" encoding="utf-8"?>
<ds:datastoreItem xmlns:ds="http://schemas.openxmlformats.org/officeDocument/2006/customXml" ds:itemID="{A162E56E-C018-4033-B673-C32EDE94F749}">
  <ds:schemaRefs/>
</ds:datastoreItem>
</file>

<file path=customXml/itemProps10.xml><?xml version="1.0" encoding="utf-8"?>
<ds:datastoreItem xmlns:ds="http://schemas.openxmlformats.org/officeDocument/2006/customXml" ds:itemID="{4ED35230-E717-489E-B8ED-0D4FCB5D80A4}">
  <ds:schemaRefs/>
</ds:datastoreItem>
</file>

<file path=customXml/itemProps11.xml><?xml version="1.0" encoding="utf-8"?>
<ds:datastoreItem xmlns:ds="http://schemas.openxmlformats.org/officeDocument/2006/customXml" ds:itemID="{CB4C8337-5F50-4AE1-9CCE-8BE90F53602B}">
  <ds:schemaRefs/>
</ds:datastoreItem>
</file>

<file path=customXml/itemProps12.xml><?xml version="1.0" encoding="utf-8"?>
<ds:datastoreItem xmlns:ds="http://schemas.openxmlformats.org/officeDocument/2006/customXml" ds:itemID="{A1647979-9D3B-42A8-BA9D-05E0F31B8DDC}">
  <ds:schemaRefs/>
</ds:datastoreItem>
</file>

<file path=customXml/itemProps13.xml><?xml version="1.0" encoding="utf-8"?>
<ds:datastoreItem xmlns:ds="http://schemas.openxmlformats.org/officeDocument/2006/customXml" ds:itemID="{3987D5ED-AF39-4697-AB1F-493D653894E7}">
  <ds:schemaRefs/>
</ds:datastoreItem>
</file>

<file path=customXml/itemProps14.xml><?xml version="1.0" encoding="utf-8"?>
<ds:datastoreItem xmlns:ds="http://schemas.openxmlformats.org/officeDocument/2006/customXml" ds:itemID="{5648F39D-AC79-47FA-9722-7B33FAF8B64E}">
  <ds:schemaRefs/>
</ds:datastoreItem>
</file>

<file path=customXml/itemProps15.xml><?xml version="1.0" encoding="utf-8"?>
<ds:datastoreItem xmlns:ds="http://schemas.openxmlformats.org/officeDocument/2006/customXml" ds:itemID="{EAF2EDD0-18C5-46EE-BEB5-293E0A32F4D9}">
  <ds:schemaRefs/>
</ds:datastoreItem>
</file>

<file path=customXml/itemProps16.xml><?xml version="1.0" encoding="utf-8"?>
<ds:datastoreItem xmlns:ds="http://schemas.openxmlformats.org/officeDocument/2006/customXml" ds:itemID="{5AD3E71B-0CA9-4507-A3E7-7BB58C089184}">
  <ds:schemaRefs/>
</ds:datastoreItem>
</file>

<file path=customXml/itemProps17.xml><?xml version="1.0" encoding="utf-8"?>
<ds:datastoreItem xmlns:ds="http://schemas.openxmlformats.org/officeDocument/2006/customXml" ds:itemID="{18393088-F655-4174-98FC-E1499CEE5955}">
  <ds:schemaRefs/>
</ds:datastoreItem>
</file>

<file path=customXml/itemProps18.xml><?xml version="1.0" encoding="utf-8"?>
<ds:datastoreItem xmlns:ds="http://schemas.openxmlformats.org/officeDocument/2006/customXml" ds:itemID="{8C707261-925A-4BDB-9448-611CDBB3B8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Avg of Patient Satisfaction Sco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PARV PUROHIT</dc:creator>
  <cp:lastModifiedBy>PARV PUROHIT</cp:lastModifiedBy>
  <dcterms:created xsi:type="dcterms:W3CDTF">2026-02-18T06:18:23Z</dcterms:created>
  <dcterms:modified xsi:type="dcterms:W3CDTF">2026-02-23T07:32:12Z</dcterms:modified>
</cp:coreProperties>
</file>